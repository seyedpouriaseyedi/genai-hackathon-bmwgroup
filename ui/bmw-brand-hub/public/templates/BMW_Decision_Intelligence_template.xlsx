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🔴 Supply Chain" sheetId="2" state="visible" r:id="rId4"/>
    <sheet name="🔵 Digital Transform" sheetId="3" state="visible" r:id="rId5"/>
    <sheet name="🟢 Op. Continu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<sst xmlns="http://schemas.openxmlformats.org/spreadsheetml/2006/main" count="278" uniqueCount="135">
  <si>
    <t xml:space="preserve">BMW Decision Intelligence  ·  Executive Dashboard</t>
  </si>
  <si>
    <t xml:space="preserve">Supply Chain Operations Lead  ·  3-Scenario Comparative Analysis  ·  8 Candidates</t>
  </si>
  <si>
    <t xml:space="preserve">■ Blue = agent input</t>
  </si>
  <si>
    <t xml:space="preserve">■ Green = calculated formula</t>
  </si>
  <si>
    <t xml:space="preserve">■ Teal = cross-sheet link</t>
  </si>
  <si>
    <t xml:space="preserve">TOP SCORE
SUPPLY CHAIN DIS</t>
  </si>
  <si>
    <t xml:space="preserve">TOP SCORE
DIGITAL TRANSFOR</t>
  </si>
  <si>
    <t xml:space="preserve">TOP SCORE
OPERATIONAL CONT</t>
  </si>
  <si>
    <t xml:space="preserve">CANDIDATES
ASSESSED</t>
  </si>
  <si>
    <t xml:space="preserve">SHORTLIST
COUNT (SCD)</t>
  </si>
  <si>
    <t xml:space="preserve">Across all scenarios</t>
  </si>
  <si>
    <t xml:space="preserve">Supply Chain Disruption</t>
  </si>
  <si>
    <t xml:space="preserve">CROSS-SCENARIO COMPARISON  —  all values link to scenario sheets</t>
  </si>
  <si>
    <t xml:space="preserve">CANDIDATE</t>
  </si>
  <si>
    <t xml:space="preserve">SOURCE</t>
  </si>
  <si>
    <t xml:space="preserve">SCD SCORE</t>
  </si>
  <si>
    <t xml:space="preserve">SCD RANK</t>
  </si>
  <si>
    <t xml:space="preserve">SCD BAND</t>
  </si>
  <si>
    <t xml:space="preserve">DT SCORE</t>
  </si>
  <si>
    <t xml:space="preserve">DT RANK</t>
  </si>
  <si>
    <t xml:space="preserve">DT BAND</t>
  </si>
  <si>
    <t xml:space="preserve">OC SCORE</t>
  </si>
  <si>
    <t xml:space="preserve">OC RANK</t>
  </si>
  <si>
    <t xml:space="preserve">OC BAND</t>
  </si>
  <si>
    <t xml:space="preserve">BEST SCENARIO</t>
  </si>
  <si>
    <t xml:space="preserve">CONSISTENCY (STDEV)</t>
  </si>
  <si>
    <t xml:space="preserve">RECOMMENDED CANDIDATE PER SCENARIO</t>
  </si>
  <si>
    <t xml:space="preserve">Supply Chain Disru</t>
  </si>
  <si>
    <t xml:space="preserve">Digital Transforma</t>
  </si>
  <si>
    <t xml:space="preserve">Operational Contin</t>
  </si>
  <si>
    <t xml:space="preserve">Top Candidate</t>
  </si>
  <si>
    <t xml:space="preserve">Score</t>
  </si>
  <si>
    <t xml:space="preserve">Decision</t>
  </si>
  <si>
    <t xml:space="preserve">Confidence</t>
  </si>
  <si>
    <t xml:space="preserve">Near-Tie Alert</t>
  </si>
  <si>
    <t xml:space="preserve">RUN METADATA</t>
  </si>
  <si>
    <t xml:space="preserve">Model</t>
  </si>
  <si>
    <t xml:space="preserve">BMW AI</t>
  </si>
  <si>
    <t xml:space="preserve">Architecture</t>
  </si>
  <si>
    <t xml:space="preserve">Single-Agent + 3 Deterministic Tools (scenario / candidate / ranking)</t>
  </si>
  <si>
    <t xml:space="preserve">Role</t>
  </si>
  <si>
    <t xml:space="preserve">Supply Chain Operations Lead</t>
  </si>
  <si>
    <t xml:space="preserve">Scenarios run</t>
  </si>
  <si>
    <t xml:space="preserve">3</t>
  </si>
  <si>
    <t xml:space="preserve">Candidates</t>
  </si>
  <si>
    <t xml:space="preserve">8</t>
  </si>
  <si>
    <t xml:space="preserve">Export version</t>
  </si>
  <si>
    <t xml:space="preserve">v1.0</t>
  </si>
  <si>
    <t xml:space="preserve">Note</t>
  </si>
  <si>
    <t xml:space="preserve">Blue cells = agent inputs. Green cells = calculated formulas. Teal = cross-sheet links. Only sheets for selected scenarios are included in the export.</t>
  </si>
  <si>
    <t xml:space="preserve">BMW Decision Intelligence  ·  Supply Chain Disruption</t>
  </si>
  <si>
    <t xml:space="preserve">Scenario: Supply Chain Disruption  ·  Prioritizes crisis handling, supplier management, and rapid decision-making.</t>
  </si>
  <si>
    <t xml:space="preserve">SCENARIO WEIGHTS  (blue = editable inputs)</t>
  </si>
  <si>
    <t xml:space="preserve">Scalability Mindset</t>
  </si>
  <si>
    <t xml:space="preserve">Hard Skill Match</t>
  </si>
  <si>
    <t xml:space="preserve">Domain Experience</t>
  </si>
  <si>
    <t xml:space="preserve">Onboarding Speed</t>
  </si>
  <si>
    <t xml:space="preserve">Trajectory</t>
  </si>
  <si>
    <t xml:space="preserve">Σ CHECK</t>
  </si>
  <si>
    <t xml:space="preserve">#</t>
  </si>
  <si>
    <t xml:space="preserve">Candidate</t>
  </si>
  <si>
    <t xml:space="preserve">Source</t>
  </si>
  <si>
    <t xml:space="preserve">Rank
(Auto)</t>
  </si>
  <si>
    <t xml:space="preserve">Scalability
Mindset</t>
  </si>
  <si>
    <t xml:space="preserve">Hard Skill
Match</t>
  </si>
  <si>
    <t xml:space="preserve">Domain
Experience</t>
  </si>
  <si>
    <t xml:space="preserve">Onboarding
Speed</t>
  </si>
  <si>
    <t xml:space="preserve">Weighted
Composite</t>
  </si>
  <si>
    <t xml:space="preserve">Score
Band</t>
  </si>
  <si>
    <t xml:space="preserve">vs
Pool</t>
  </si>
  <si>
    <t xml:space="preserve">Key Strength</t>
  </si>
  <si>
    <t xml:space="preserve">Flag</t>
  </si>
  <si>
    <t xml:space="preserve">Anna Keller</t>
  </si>
  <si>
    <t xml:space="preserve">Internal</t>
  </si>
  <si>
    <t xml:space="preserve">Crisis Logistics</t>
  </si>
  <si>
    <t xml:space="preserve">Marcus Thorne</t>
  </si>
  <si>
    <t xml:space="preserve">External</t>
  </si>
  <si>
    <t xml:space="preserve">Strategic Sourcing</t>
  </si>
  <si>
    <t xml:space="preserve">Elena Rodriguez</t>
  </si>
  <si>
    <t xml:space="preserve">Stakeholder Comms</t>
  </si>
  <si>
    <t xml:space="preserve">David Chen</t>
  </si>
  <si>
    <t xml:space="preserve">Risk Modeling</t>
  </si>
  <si>
    <t xml:space="preserve">Sarah Jenkins</t>
  </si>
  <si>
    <t xml:space="preserve">Rapid Procurement</t>
  </si>
  <si>
    <t xml:space="preserve">Julian Vane</t>
  </si>
  <si>
    <t xml:space="preserve">Regulatory Compliance</t>
  </si>
  <si>
    <t xml:space="preserve">Linda Wu</t>
  </si>
  <si>
    <t xml:space="preserve">Vendor Relations</t>
  </si>
  <si>
    <t xml:space="preserve">Thomas More</t>
  </si>
  <si>
    <t xml:space="preserve">Inventory Optimization</t>
  </si>
  <si>
    <t xml:space="preserve">POOL SUMMARY</t>
  </si>
  <si>
    <t xml:space="preserve">Pool Average Score</t>
  </si>
  <si>
    <t xml:space="preserve">Highest Score</t>
  </si>
  <si>
    <t xml:space="preserve">Lowest Score</t>
  </si>
  <si>
    <t xml:space="preserve">Internal Avg</t>
  </si>
  <si>
    <t xml:space="preserve">External Avg</t>
  </si>
  <si>
    <t xml:space="preserve">SHORTLIST Count</t>
  </si>
  <si>
    <t xml:space="preserve">Near-Tie Alerts</t>
  </si>
  <si>
    <t xml:space="preserve">Top Candidate Score</t>
  </si>
  <si>
    <t xml:space="preserve">COMPETENCY BREAKDOWN  ·  candidates = rows  ·  competencies = columns  ·  TRANSPOSE formula</t>
  </si>
  <si>
    <t xml:space="preserve">Crisis Management</t>
  </si>
  <si>
    <t xml:space="preserve">Supplier Management</t>
  </si>
  <si>
    <t xml:space="preserve">Stakeholder Management</t>
  </si>
  <si>
    <t xml:space="preserve">Adaptability</t>
  </si>
  <si>
    <t xml:space="preserve">Decision Under Pressure</t>
  </si>
  <si>
    <t xml:space="preserve">Operations Leadership</t>
  </si>
  <si>
    <t xml:space="preserve">Continuity Focus</t>
  </si>
  <si>
    <t xml:space="preserve">Candidate
Avg</t>
  </si>
  <si>
    <t xml:space="preserve">vs Pool
Avg</t>
  </si>
  <si>
    <t xml:space="preserve">DECISION INTELLIGENCE NOTES</t>
  </si>
  <si>
    <t xml:space="preserve">Top Ranked Candidate</t>
  </si>
  <si>
    <t xml:space="preserve">Score Band</t>
  </si>
  <si>
    <t xml:space="preserve">Confidence Level</t>
  </si>
  <si>
    <t xml:space="preserve">Internal vs External</t>
  </si>
  <si>
    <t xml:space="preserve">Near-Tie Action Required</t>
  </si>
  <si>
    <t xml:space="preserve">BMW Decision Intelligence  ·  Digital Transformation</t>
  </si>
  <si>
    <t xml:space="preserve">Scenario: Digital Transformation  ·  Prioritizes adaptability, transformation capability, and cross-functional change leadership.</t>
  </si>
  <si>
    <t xml:space="preserve">Digital Adaptability</t>
  </si>
  <si>
    <t xml:space="preserve">Change Leadership</t>
  </si>
  <si>
    <t xml:space="preserve">Cross-Functional Lead</t>
  </si>
  <si>
    <t xml:space="preserve">Data Analytics</t>
  </si>
  <si>
    <t xml:space="preserve">Process Innovation</t>
  </si>
  <si>
    <t xml:space="preserve">Tech Adoption</t>
  </si>
  <si>
    <t xml:space="preserve">System Integration</t>
  </si>
  <si>
    <t xml:space="preserve">Agile Delivery</t>
  </si>
  <si>
    <t xml:space="preserve">BMW Decision Intelligence  ·  Operational Continuity</t>
  </si>
  <si>
    <t xml:space="preserve">Scenario: Operational Continuity  ·  Prioritizes internal knowledge, continuity focus, and stable operations leadership.</t>
  </si>
  <si>
    <t xml:space="preserve">Process Continuity</t>
  </si>
  <si>
    <t xml:space="preserve">Technical Depth</t>
  </si>
  <si>
    <t xml:space="preserve">Domain Mastery</t>
  </si>
  <si>
    <t xml:space="preserve">Risk Continuity</t>
  </si>
  <si>
    <t xml:space="preserve">SLA Management</t>
  </si>
  <si>
    <t xml:space="preserve">Compliance Ops</t>
  </si>
  <si>
    <t xml:space="preserve">Vendor Continuity</t>
  </si>
  <si>
    <t xml:space="preserve">Systems Reliability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</si>
</sst>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General"/>
    <numFmt numFmtId="168" formatCode="0%"/>
    <numFmt numFmtId="169" formatCode="\+0.0;\-0.0;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9"/>
      <color rgb="FF8B8FA8"/>
      <name val="Arial"/>
      <family val="0"/>
      <charset val="1"/>
    </font>
    <font>
      <sz val="8"/>
      <color rgb="FF003399"/>
      <name val="Arial"/>
      <family val="0"/>
      <charset val="1"/>
    </font>
    <font>
      <sz val="8"/>
      <color rgb="FF004400"/>
      <name val="Arial"/>
      <family val="0"/>
      <charset val="1"/>
    </font>
    <font>
      <sz val="8"/>
      <color rgb="FF005500"/>
      <name val="Arial"/>
      <family val="0"/>
      <charset val="1"/>
    </font>
    <font>
      <b val="true"/>
      <sz val="8"/>
      <color rgb="FF8B8FA8"/>
      <name val="Arial"/>
      <family val="0"/>
      <charset val="1"/>
    </font>
    <font>
      <b val="true"/>
      <sz val="16"/>
      <color rgb="FF005500"/>
      <name val="Arial"/>
      <family val="0"/>
      <charset val="1"/>
    </font>
    <font>
      <i val="true"/>
      <sz val="8"/>
      <color rgb="FF8B8FA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5500"/>
      <name val="Arial"/>
      <family val="0"/>
      <charset val="1"/>
    </font>
    <font>
      <sz val="9"/>
      <color rgb="FF005500"/>
      <name val="Arial"/>
      <family val="0"/>
      <charset val="1"/>
    </font>
    <font>
      <b val="true"/>
      <sz val="11"/>
      <color rgb="FF005500"/>
      <name val="Arial"/>
      <family val="0"/>
      <charset val="1"/>
    </font>
    <font>
      <sz val="9"/>
      <color rgb="FF004400"/>
      <name val="Arial"/>
      <family val="0"/>
      <charset val="1"/>
    </font>
    <font>
      <sz val="10"/>
      <color rgb="FF004400"/>
      <name val="Arial"/>
      <family val="0"/>
      <charset val="1"/>
    </font>
    <font>
      <b val="true"/>
      <sz val="9"/>
      <color rgb="FF8B8FA8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8"/>
      <color rgb="FF8B8FA8"/>
      <name val="Arial"/>
      <family val="0"/>
      <charset val="1"/>
    </font>
    <font>
      <b val="true"/>
      <sz val="12"/>
      <color rgb="FF00339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B8FA8"/>
      <name val="Arial"/>
      <family val="0"/>
      <charset val="1"/>
    </font>
    <font>
      <sz val="10"/>
      <color rgb="FF003399"/>
      <name val="Arial"/>
      <family val="0"/>
      <charset val="1"/>
    </font>
    <font>
      <sz val="9"/>
      <color rgb="FF003399"/>
      <name val="Arial"/>
      <family val="0"/>
      <charset val="1"/>
    </font>
    <font>
      <b val="true"/>
      <sz val="11"/>
      <color rgb="FF004400"/>
      <name val="Arial"/>
      <family val="0"/>
      <charset val="1"/>
    </font>
    <font>
      <b val="true"/>
      <sz val="11"/>
      <color rgb="FF003399"/>
      <name val="Arial"/>
      <family val="0"/>
      <charset val="1"/>
    </font>
    <font>
      <b val="true"/>
      <sz val="12"/>
      <color rgb="FF004400"/>
      <name val="Arial"/>
      <family val="0"/>
      <charset val="1"/>
    </font>
    <font>
      <b val="true"/>
      <sz val="9"/>
      <color rgb="FF004400"/>
      <name val="Arial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0"/>
      <color rgb="FF0044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117"/>
        <bgColor rgb="FF1A1D27"/>
      </patternFill>
    </fill>
    <fill>
      <patternFill patternType="solid">
        <fgColor rgb="FF1A1D27"/>
        <bgColor rgb="FF0F1117"/>
      </patternFill>
    </fill>
    <fill>
      <patternFill patternType="solid">
        <fgColor rgb="FFF4F5F7"/>
        <bgColor rgb="FFE6F1FB"/>
      </patternFill>
    </fill>
    <fill>
      <patternFill patternType="solid">
        <fgColor rgb="FFFFFFFF"/>
        <bgColor rgb="FFF4F5F7"/>
      </patternFill>
    </fill>
    <fill>
      <patternFill patternType="solid">
        <fgColor rgb="FFE6F1FB"/>
        <bgColor rgb="FFF4F5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 diagonalUp="false" diagonalDown="false">
      <left/>
      <right/>
      <top/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5500"/>
      <rgbColor rgb="FF0F1117"/>
      <rgbColor rgb="FF808000"/>
      <rgbColor rgb="FF800080"/>
      <rgbColor rgb="FF008080"/>
      <rgbColor rgb="FFD3D1C7"/>
      <rgbColor rgb="FF808080"/>
      <rgbColor rgb="FF9999FF"/>
      <rgbColor rgb="FF993366"/>
      <rgbColor rgb="FFF4F5F7"/>
      <rgbColor rgb="FFE6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B8FA8"/>
      <rgbColor rgb="FF003399"/>
      <rgbColor rgb="FF339966"/>
      <rgbColor rgb="FF004400"/>
      <rgbColor rgb="FF1A1D27"/>
      <rgbColor rgb="FF993300"/>
      <rgbColor rgb="FF993366"/>
      <rgbColor rgb="FF333399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13" min="3" style="0" width="14"/>
  </cols>
  <sheetData>
    <row r="1" customFormat="false" ht="6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.75" hidden="false" customHeight="true" outlineLevel="0" collapsed="false"/>
    <row r="5" customFormat="false" ht="15.75" hidden="false" customHeight="true" outlineLevel="0" collapsed="false">
      <c r="B5" s="3" t="s">
        <v>2</v>
      </c>
      <c r="D5" s="4" t="s">
        <v>3</v>
      </c>
      <c r="F5" s="5" t="s">
        <v>4</v>
      </c>
    </row>
    <row r="6" customFormat="false" ht="3.75" hidden="false" customHeight="true" outlineLevel="0" collapsed="false"/>
    <row r="7" customFormat="false" ht="13.5" hidden="false" customHeight="true" outlineLevel="0" collapsed="false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customFormat="false" ht="33.75" hidden="false" customHeight="true" outlineLevel="0" collapsed="false">
      <c r="B8" s="7" t="n">
        <f aca="false">MAX('🔴 Supply Chain'!J10:J17)</f>
        <v>93.3</v>
      </c>
      <c r="C8" s="7" t="n">
        <f aca="false">MAX('🔵 Digital Transform'!J10:J17)</f>
        <v>89.2</v>
      </c>
      <c r="D8" s="7" t="n">
        <f aca="false">MAX('🟢 Op. Continuity'!J10:J17)</f>
        <v>87.7</v>
      </c>
      <c r="E8" s="8" t="n">
        <f aca="false">COUNTA('🔴 Supply Chain'!B10:B17)</f>
        <v>8</v>
      </c>
      <c r="F8" s="8" t="n">
        <f aca="false">COUNTIF('🔴 Supply Chain'!O10:O17,"SHORTLIST")</f>
        <v>1</v>
      </c>
    </row>
    <row r="9" customFormat="false" ht="18" hidden="false" customHeight="true" outlineLevel="0" collapsed="false">
      <c r="B9" s="9" t="str">
        <f aca="false">INDEX('🔴 Supply Chain'!B10:B17,MATCH(MAX('🔴 Supply Chain'!J10:J17),'🔴 Supply Chain'!J10:J17,0))</f>
        <v>Anna Keller</v>
      </c>
      <c r="C9" s="9" t="str">
        <f aca="false">INDEX('🔵 Digital Transform'!B10:B17,MATCH(MAX('🔵 Digital Transform'!J10:J17),'🔵 Digital Transform'!J10:J17,0))</f>
        <v>Marcus Thorne</v>
      </c>
      <c r="D9" s="9" t="str">
        <f aca="false">INDEX('🟢 Op. Continuity'!B10:B17,MATCH(MAX('🟢 Op. Continuity'!J10:J17),'🟢 Op. Continuity'!J10:J17,0))</f>
        <v>Anna Keller</v>
      </c>
      <c r="E9" s="9" t="s">
        <v>10</v>
      </c>
      <c r="F9" s="9" t="s">
        <v>11</v>
      </c>
    </row>
    <row r="10" customFormat="false" ht="6" hidden="false" customHeight="true" outlineLevel="0" collapsed="false"/>
    <row r="11" customFormat="false" ht="13.5" hidden="false" customHeight="true" outlineLevel="0" collapsed="false">
      <c r="B11" s="10" t="s">
        <v>12</v>
      </c>
    </row>
    <row r="12" customFormat="false" ht="30" hidden="false" customHeight="true" outlineLevel="0" collapsed="false"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  <c r="L12" s="11" t="s">
        <v>23</v>
      </c>
      <c r="M12" s="11" t="s">
        <v>24</v>
      </c>
      <c r="N12" s="11" t="s">
        <v>25</v>
      </c>
    </row>
    <row r="13" customFormat="false" ht="19.5" hidden="false" customHeight="true" outlineLevel="0" collapsed="false">
      <c r="B13" s="12" t="str">
        <f aca="false">'🔴 Supply Chain'!B10</f>
        <v>Anna Keller</v>
      </c>
      <c r="C13" s="13" t="str">
        <f aca="false">'🔴 Supply Chain'!C10</f>
        <v>Internal</v>
      </c>
      <c r="D13" s="14" t="n">
        <f aca="false">'🔴 Supply Chain'!J10</f>
        <v>93.3</v>
      </c>
      <c r="E13" s="15" t="n">
        <f aca="false">'🔴 Supply Chain'!D10</f>
        <v>1</v>
      </c>
      <c r="F13" s="16" t="str">
        <f aca="false">'🔴 Supply Chain'!K10</f>
        <v>STRONG FIT</v>
      </c>
      <c r="G13" s="14" t="n">
        <f aca="false">'🔵 Digital Transform'!J10</f>
        <v>86.7</v>
      </c>
      <c r="H13" s="15" t="n">
        <f aca="false">'🔵 Digital Transform'!D10</f>
        <v>2</v>
      </c>
      <c r="I13" s="16" t="str">
        <f aca="false">'🔵 Digital Transform'!K10</f>
        <v>GOOD FIT</v>
      </c>
      <c r="J13" s="14" t="n">
        <f aca="false">'🟢 Op. Continuity'!J10</f>
        <v>87.7</v>
      </c>
      <c r="K13" s="15" t="n">
        <f aca="false">'🟢 Op. Continuity'!D10</f>
        <v>1</v>
      </c>
      <c r="L13" s="16" t="str">
        <f aca="false">'🟢 Op. Continuity'!K10</f>
        <v>GOOD FIT</v>
      </c>
      <c r="M13" s="17" t="str">
        <f aca="false">IF(D13=MAX(D13,G13,J13),"Supply Chain Disruption",IF(G13=MAX(D13,G13,J13),"Digital Transformation","Operational Continuity"))</f>
        <v>Supply Chain Disruption</v>
      </c>
      <c r="N13" s="18" t="n">
        <f aca="false">ROUND(STDEV(D13,G13,J13),1)</f>
        <v>3.6</v>
      </c>
    </row>
    <row r="14" customFormat="false" ht="19.5" hidden="false" customHeight="true" outlineLevel="0" collapsed="false">
      <c r="B14" s="19" t="str">
        <f aca="false">'🔴 Supply Chain'!B11</f>
        <v>Marcus Thorne</v>
      </c>
      <c r="C14" s="20" t="str">
        <f aca="false">'🔴 Supply Chain'!C11</f>
        <v>External</v>
      </c>
      <c r="D14" s="21" t="n">
        <f aca="false">'🔴 Supply Chain'!J11</f>
        <v>86.4</v>
      </c>
      <c r="E14" s="22" t="n">
        <f aca="false">'🔴 Supply Chain'!D11</f>
        <v>2</v>
      </c>
      <c r="F14" s="23" t="str">
        <f aca="false">'🔴 Supply Chain'!K11</f>
        <v>GOOD FIT</v>
      </c>
      <c r="G14" s="21" t="n">
        <f aca="false">'🔵 Digital Transform'!J11</f>
        <v>89.2</v>
      </c>
      <c r="H14" s="22" t="n">
        <f aca="false">'🔵 Digital Transform'!D11</f>
        <v>1</v>
      </c>
      <c r="I14" s="23" t="str">
        <f aca="false">'🔵 Digital Transform'!K11</f>
        <v>GOOD FIT</v>
      </c>
      <c r="J14" s="21" t="n">
        <f aca="false">'🟢 Op. Continuity'!J11</f>
        <v>80.8</v>
      </c>
      <c r="K14" s="22" t="n">
        <f aca="false">'🟢 Op. Continuity'!D11</f>
        <v>3</v>
      </c>
      <c r="L14" s="23" t="str">
        <f aca="false">'🟢 Op. Continuity'!K11</f>
        <v>GOOD FIT</v>
      </c>
      <c r="M14" s="24" t="str">
        <f aca="false">IF(D14=MAX(D14,G14,J14),"Supply Chain Disruption",IF(G14=MAX(D14,G14,J14),"Digital Transformation","Operational Continuity"))</f>
        <v>Digital Transformation</v>
      </c>
      <c r="N14" s="25" t="n">
        <f aca="false">ROUND(STDEV(D14,G14,J14),1)</f>
        <v>4.3</v>
      </c>
    </row>
    <row r="15" customFormat="false" ht="19.5" hidden="false" customHeight="true" outlineLevel="0" collapsed="false">
      <c r="B15" s="12" t="str">
        <f aca="false">'🔴 Supply Chain'!B12</f>
        <v>Elena Rodriguez</v>
      </c>
      <c r="C15" s="13" t="str">
        <f aca="false">'🔴 Supply Chain'!C12</f>
        <v>Internal</v>
      </c>
      <c r="D15" s="14" t="n">
        <f aca="false">'🔴 Supply Chain'!J12</f>
        <v>82.8</v>
      </c>
      <c r="E15" s="15" t="n">
        <f aca="false">'🔴 Supply Chain'!D12</f>
        <v>3</v>
      </c>
      <c r="F15" s="16" t="str">
        <f aca="false">'🔴 Supply Chain'!K12</f>
        <v>GOOD FIT</v>
      </c>
      <c r="G15" s="14" t="n">
        <f aca="false">'🔵 Digital Transform'!J12</f>
        <v>84.3</v>
      </c>
      <c r="H15" s="15" t="n">
        <f aca="false">'🔵 Digital Transform'!D12</f>
        <v>3</v>
      </c>
      <c r="I15" s="16" t="str">
        <f aca="false">'🔵 Digital Transform'!K12</f>
        <v>GOOD FIT</v>
      </c>
      <c r="J15" s="14" t="n">
        <f aca="false">'🟢 Op. Continuity'!J12</f>
        <v>81.6</v>
      </c>
      <c r="K15" s="15" t="n">
        <f aca="false">'🟢 Op. Continuity'!D12</f>
        <v>2</v>
      </c>
      <c r="L15" s="16" t="str">
        <f aca="false">'🟢 Op. Continuity'!K12</f>
        <v>GOOD FIT</v>
      </c>
      <c r="M15" s="17" t="str">
        <f aca="false">IF(D15=MAX(D15,G15,J15),"Supply Chain Disruption",IF(G15=MAX(D15,G15,J15),"Digital Transformation","Operational Continuity"))</f>
        <v>Digital Transformation</v>
      </c>
      <c r="N15" s="18" t="n">
        <f aca="false">ROUND(STDEV(D15,G15,J15),1)</f>
        <v>1.4</v>
      </c>
    </row>
    <row r="16" customFormat="false" ht="19.5" hidden="false" customHeight="true" outlineLevel="0" collapsed="false">
      <c r="B16" s="19" t="str">
        <f aca="false">'🔴 Supply Chain'!B13</f>
        <v>David Chen</v>
      </c>
      <c r="C16" s="20" t="str">
        <f aca="false">'🔴 Supply Chain'!C13</f>
        <v>External</v>
      </c>
      <c r="D16" s="21" t="n">
        <f aca="false">'🔴 Supply Chain'!J13</f>
        <v>80.4</v>
      </c>
      <c r="E16" s="22" t="n">
        <f aca="false">'🔴 Supply Chain'!D13</f>
        <v>4</v>
      </c>
      <c r="F16" s="23" t="str">
        <f aca="false">'🔴 Supply Chain'!K13</f>
        <v>GOOD FIT</v>
      </c>
      <c r="G16" s="21" t="n">
        <f aca="false">'🔵 Digital Transform'!J13</f>
        <v>78.6</v>
      </c>
      <c r="H16" s="22" t="n">
        <f aca="false">'🔵 Digital Transform'!D13</f>
        <v>4</v>
      </c>
      <c r="I16" s="23" t="str">
        <f aca="false">'🔵 Digital Transform'!K13</f>
        <v>MODERATE FIT</v>
      </c>
      <c r="J16" s="21" t="n">
        <f aca="false">'🟢 Op. Continuity'!J13</f>
        <v>76</v>
      </c>
      <c r="K16" s="22" t="n">
        <f aca="false">'🟢 Op. Continuity'!D13</f>
        <v>6</v>
      </c>
      <c r="L16" s="23" t="str">
        <f aca="false">'🟢 Op. Continuity'!K13</f>
        <v>MODERATE FIT</v>
      </c>
      <c r="M16" s="24" t="str">
        <f aca="false">IF(D16=MAX(D16,G16,J16),"Supply Chain Disruption",IF(G16=MAX(D16,G16,J16),"Digital Transformation","Operational Continuity"))</f>
        <v>Supply Chain Disruption</v>
      </c>
      <c r="N16" s="25" t="n">
        <f aca="false">ROUND(STDEV(D16,G16,J16),1)</f>
        <v>2.2</v>
      </c>
    </row>
    <row r="17" customFormat="false" ht="19.5" hidden="false" customHeight="true" outlineLevel="0" collapsed="false">
      <c r="B17" s="12" t="str">
        <f aca="false">'🔴 Supply Chain'!B14</f>
        <v>Sarah Jenkins</v>
      </c>
      <c r="C17" s="13" t="str">
        <f aca="false">'🔴 Supply Chain'!C14</f>
        <v>Internal</v>
      </c>
      <c r="D17" s="14" t="n">
        <f aca="false">'🔴 Supply Chain'!J14</f>
        <v>78</v>
      </c>
      <c r="E17" s="15" t="n">
        <f aca="false">'🔴 Supply Chain'!D14</f>
        <v>5</v>
      </c>
      <c r="F17" s="16" t="str">
        <f aca="false">'🔴 Supply Chain'!K14</f>
        <v>MODERATE FIT</v>
      </c>
      <c r="G17" s="14" t="n">
        <f aca="false">'🔵 Digital Transform'!J14</f>
        <v>75.2</v>
      </c>
      <c r="H17" s="15" t="n">
        <f aca="false">'🔵 Digital Transform'!D14</f>
        <v>5</v>
      </c>
      <c r="I17" s="16" t="str">
        <f aca="false">'🔵 Digital Transform'!K14</f>
        <v>MODERATE FIT</v>
      </c>
      <c r="J17" s="14" t="n">
        <f aca="false">'🟢 Op. Continuity'!J14</f>
        <v>74.5</v>
      </c>
      <c r="K17" s="15" t="n">
        <f aca="false">'🟢 Op. Continuity'!D14</f>
        <v>8</v>
      </c>
      <c r="L17" s="16" t="str">
        <f aca="false">'🟢 Op. Continuity'!K14</f>
        <v>MODERATE FIT</v>
      </c>
      <c r="M17" s="17" t="str">
        <f aca="false">IF(D17=MAX(D17,G17,J17),"Supply Chain Disruption",IF(G17=MAX(D17,G17,J17),"Digital Transformation","Operational Continuity"))</f>
        <v>Supply Chain Disruption</v>
      </c>
      <c r="N17" s="18" t="n">
        <f aca="false">ROUND(STDEV(D17,G17,J17),1)</f>
        <v>1.9</v>
      </c>
    </row>
    <row r="18" customFormat="false" ht="19.5" hidden="false" customHeight="true" outlineLevel="0" collapsed="false">
      <c r="B18" s="19" t="str">
        <f aca="false">'🔴 Supply Chain'!B15</f>
        <v>Julian Vane</v>
      </c>
      <c r="C18" s="20" t="str">
        <f aca="false">'🔴 Supply Chain'!C15</f>
        <v>External</v>
      </c>
      <c r="D18" s="21" t="n">
        <f aca="false">'🔴 Supply Chain'!J15</f>
        <v>74.1</v>
      </c>
      <c r="E18" s="22" t="n">
        <f aca="false">'🔴 Supply Chain'!D15</f>
        <v>6</v>
      </c>
      <c r="F18" s="23" t="str">
        <f aca="false">'🔴 Supply Chain'!K15</f>
        <v>MODERATE FIT</v>
      </c>
      <c r="G18" s="21" t="n">
        <f aca="false">'🔵 Digital Transform'!J15</f>
        <v>70.8</v>
      </c>
      <c r="H18" s="22" t="n">
        <f aca="false">'🔵 Digital Transform'!D15</f>
        <v>6</v>
      </c>
      <c r="I18" s="23" t="str">
        <f aca="false">'🔵 Digital Transform'!K15</f>
        <v>MODERATE FIT</v>
      </c>
      <c r="J18" s="21" t="n">
        <f aca="false">'🟢 Op. Continuity'!J15</f>
        <v>74.6</v>
      </c>
      <c r="K18" s="22" t="n">
        <f aca="false">'🟢 Op. Continuity'!D15</f>
        <v>7</v>
      </c>
      <c r="L18" s="23" t="str">
        <f aca="false">'🟢 Op. Continuity'!K15</f>
        <v>MODERATE FIT</v>
      </c>
      <c r="M18" s="24" t="str">
        <f aca="false">IF(D18=MAX(D18,G18,J18),"Supply Chain Disruption",IF(G18=MAX(D18,G18,J18),"Digital Transformation","Operational Continuity"))</f>
        <v>Operational Continuity</v>
      </c>
      <c r="N18" s="25" t="n">
        <f aca="false">ROUND(STDEV(D18,G18,J18),1)</f>
        <v>2.1</v>
      </c>
    </row>
    <row r="19" customFormat="false" ht="19.5" hidden="false" customHeight="true" outlineLevel="0" collapsed="false">
      <c r="B19" s="12" t="str">
        <f aca="false">'🔴 Supply Chain'!B16</f>
        <v>Linda Wu</v>
      </c>
      <c r="C19" s="13" t="str">
        <f aca="false">'🔴 Supply Chain'!C16</f>
        <v>Internal</v>
      </c>
      <c r="D19" s="14" t="n">
        <f aca="false">'🔴 Supply Chain'!J16</f>
        <v>71.6</v>
      </c>
      <c r="E19" s="15" t="n">
        <f aca="false">'🔴 Supply Chain'!D16</f>
        <v>7</v>
      </c>
      <c r="F19" s="16" t="str">
        <f aca="false">'🔴 Supply Chain'!K16</f>
        <v>MODERATE FIT</v>
      </c>
      <c r="G19" s="14" t="n">
        <f aca="false">'🔵 Digital Transform'!J16</f>
        <v>66.4</v>
      </c>
      <c r="H19" s="15" t="n">
        <f aca="false">'🔵 Digital Transform'!D16</f>
        <v>7</v>
      </c>
      <c r="I19" s="16" t="str">
        <f aca="false">'🔵 Digital Transform'!K16</f>
        <v>BELOW THRESHOLD</v>
      </c>
      <c r="J19" s="14" t="n">
        <f aca="false">'🟢 Op. Continuity'!J16</f>
        <v>76.2</v>
      </c>
      <c r="K19" s="15" t="n">
        <f aca="false">'🟢 Op. Continuity'!D16</f>
        <v>5</v>
      </c>
      <c r="L19" s="16" t="str">
        <f aca="false">'🟢 Op. Continuity'!K16</f>
        <v>MODERATE FIT</v>
      </c>
      <c r="M19" s="17" t="str">
        <f aca="false">IF(D19=MAX(D19,G19,J19),"Supply Chain Disruption",IF(G19=MAX(D19,G19,J19),"Digital Transformation","Operational Continuity"))</f>
        <v>Operational Continuity</v>
      </c>
      <c r="N19" s="18" t="n">
        <f aca="false">ROUND(STDEV(D19,G19,J19),1)</f>
        <v>4.9</v>
      </c>
    </row>
    <row r="20" customFormat="false" ht="19.5" hidden="false" customHeight="true" outlineLevel="0" collapsed="false">
      <c r="B20" s="19" t="str">
        <f aca="false">'🔴 Supply Chain'!B17</f>
        <v>Thomas More</v>
      </c>
      <c r="C20" s="20" t="str">
        <f aca="false">'🔴 Supply Chain'!C17</f>
        <v>External</v>
      </c>
      <c r="D20" s="21" t="n">
        <f aca="false">'🔴 Supply Chain'!J17</f>
        <v>69.6</v>
      </c>
      <c r="E20" s="22" t="n">
        <f aca="false">'🔴 Supply Chain'!D17</f>
        <v>8</v>
      </c>
      <c r="F20" s="23" t="str">
        <f aca="false">'🔴 Supply Chain'!K17</f>
        <v>BELOW THRESHOLD</v>
      </c>
      <c r="G20" s="21" t="n">
        <f aca="false">'🔵 Digital Transform'!J17</f>
        <v>60.5</v>
      </c>
      <c r="H20" s="22" t="n">
        <f aca="false">'🔵 Digital Transform'!D17</f>
        <v>8</v>
      </c>
      <c r="I20" s="23" t="str">
        <f aca="false">'🔵 Digital Transform'!K17</f>
        <v>BELOW THRESHOLD</v>
      </c>
      <c r="J20" s="21" t="n">
        <f aca="false">'🟢 Op. Continuity'!J17</f>
        <v>79</v>
      </c>
      <c r="K20" s="22" t="n">
        <f aca="false">'🟢 Op. Continuity'!D17</f>
        <v>4</v>
      </c>
      <c r="L20" s="23" t="str">
        <f aca="false">'🟢 Op. Continuity'!K17</f>
        <v>MODERATE FIT</v>
      </c>
      <c r="M20" s="24" t="str">
        <f aca="false">IF(D20=MAX(D20,G20,J20),"Supply Chain Disruption",IF(G20=MAX(D20,G20,J20),"Digital Transformation","Operational Continuity"))</f>
        <v>Operational Continuity</v>
      </c>
      <c r="N20" s="25" t="n">
        <f aca="false">ROUND(STDEV(D20,G20,J20),1)</f>
        <v>9.3</v>
      </c>
    </row>
    <row r="22" customFormat="false" ht="13.5" hidden="false" customHeight="true" outlineLevel="0" collapsed="false">
      <c r="B22" s="10" t="s">
        <v>26</v>
      </c>
    </row>
    <row r="23" customFormat="false" ht="27.75" hidden="false" customHeight="true" outlineLevel="0" collapsed="false">
      <c r="B23" s="11" t="s">
        <v>27</v>
      </c>
      <c r="C23" s="11"/>
      <c r="D23" s="11"/>
      <c r="E23" s="11" t="s">
        <v>28</v>
      </c>
      <c r="F23" s="11"/>
      <c r="G23" s="11"/>
      <c r="H23" s="11" t="s">
        <v>29</v>
      </c>
      <c r="I23" s="11"/>
      <c r="J23" s="11"/>
    </row>
    <row r="24" customFormat="false" ht="19.5" hidden="false" customHeight="true" outlineLevel="0" collapsed="false">
      <c r="B24" s="26" t="s">
        <v>30</v>
      </c>
      <c r="C24" s="27" t="str">
        <f aca="false">INDEX('🔴 Supply Chain'!B10:B17,MATCH(1,'🔴 Supply Chain'!D10:D17,0))</f>
        <v>Anna Keller</v>
      </c>
      <c r="D24" s="27"/>
      <c r="E24" s="27"/>
      <c r="F24" s="27" t="str">
        <f aca="false">INDEX('🔵 Digital Transform'!B10:B17,MATCH(1,'🔵 Digital Transform'!D10:D17,0))</f>
        <v>Marcus Thorne</v>
      </c>
      <c r="G24" s="27"/>
      <c r="H24" s="27"/>
      <c r="I24" s="27" t="str">
        <f aca="false">INDEX('🟢 Op. Continuity'!B10:B17,MATCH(1,'🟢 Op. Continuity'!D10:D17,0))</f>
        <v>Anna Keller</v>
      </c>
      <c r="J24" s="27"/>
      <c r="K24" s="27"/>
    </row>
    <row r="25" customFormat="false" ht="19.5" hidden="false" customHeight="true" outlineLevel="0" collapsed="false">
      <c r="B25" s="26" t="s">
        <v>31</v>
      </c>
      <c r="C25" s="28" t="n">
        <f aca="false">MAX('🔴 Supply Chain'!J10:J17)</f>
        <v>93.3</v>
      </c>
      <c r="D25" s="28"/>
      <c r="E25" s="28"/>
      <c r="F25" s="28" t="n">
        <f aca="false">MAX('🔵 Digital Transform'!J10:J17)</f>
        <v>89.2</v>
      </c>
      <c r="G25" s="28"/>
      <c r="H25" s="28"/>
      <c r="I25" s="28" t="n">
        <f aca="false">MAX('🟢 Op. Continuity'!J10:J17)</f>
        <v>87.7</v>
      </c>
      <c r="J25" s="28"/>
      <c r="K25" s="28"/>
    </row>
    <row r="26" customFormat="false" ht="19.5" hidden="false" customHeight="true" outlineLevel="0" collapsed="false">
      <c r="B26" s="26" t="s">
        <v>32</v>
      </c>
      <c r="C26" s="27" t="str">
        <f aca="false">INDEX('🔴 Supply Chain'!O10:O17,MATCH(1,'🔴 Supply Chain'!D10:D17,0))</f>
        <v>SHORTLIST</v>
      </c>
      <c r="D26" s="27"/>
      <c r="E26" s="27"/>
      <c r="F26" s="27" t="str">
        <f aca="false">INDEX('🔵 Digital Transform'!O10:O17,MATCH(1,'🔵 Digital Transform'!D10:D17,0))</f>
        <v>SHORTLIST</v>
      </c>
      <c r="G26" s="27"/>
      <c r="H26" s="27"/>
      <c r="I26" s="27" t="str">
        <f aca="false">INDEX('🟢 Op. Continuity'!O10:O17,MATCH(1,'🟢 Op. Continuity'!D10:D17,0))</f>
        <v>REVIEW</v>
      </c>
      <c r="J26" s="27"/>
      <c r="K26" s="27"/>
    </row>
    <row r="27" customFormat="false" ht="19.5" hidden="false" customHeight="true" outlineLevel="0" collapsed="false">
      <c r="B27" s="26" t="s">
        <v>33</v>
      </c>
      <c r="C27" s="27" t="str">
        <f aca="false">IF(MAX('🔴 Supply Chain'!J10:J17)&gt;=90,"HIGH",IF(MAX('🔴 Supply Chain'!J10:J17)&gt;=80,"MEDIUM","LOW"))</f>
        <v>HIGH</v>
      </c>
      <c r="D27" s="27"/>
      <c r="E27" s="27"/>
      <c r="F27" s="27" t="str">
        <f aca="false">IF(MAX('🔵 Digital Transform'!J10:J17)&gt;=90,"HIGH",IF(MAX('🔵 Digital Transform'!J10:J17)&gt;=80,"MEDIUM","LOW"))</f>
        <v>MEDIUM</v>
      </c>
      <c r="G27" s="27"/>
      <c r="H27" s="27"/>
      <c r="I27" s="27" t="str">
        <f aca="false">IF(MAX('🟢 Op. Continuity'!J10:J17)&gt;=90,"HIGH",IF(MAX('🟢 Op. Continuity'!J10:J17)&gt;=80,"MEDIUM","LOW"))</f>
        <v>MEDIUM</v>
      </c>
      <c r="J27" s="27"/>
      <c r="K27" s="27"/>
    </row>
    <row r="28" customFormat="false" ht="19.5" hidden="false" customHeight="true" outlineLevel="0" collapsed="false">
      <c r="B28" s="26" t="s">
        <v>34</v>
      </c>
      <c r="C28" s="27" t="str">
        <f aca="false">IF(COUNTIF('🔴 Supply Chain'!N10:N17,"⚠ NEAR_TIE")&gt;0,"⚠ Review ties","✓ Clear")</f>
        <v>✓ Clear</v>
      </c>
      <c r="D28" s="27"/>
      <c r="E28" s="27"/>
      <c r="F28" s="27" t="str">
        <f aca="false">IF(COUNTIF('🔵 Digital Transform'!N10:N17,"⚠ NEAR_TIE")&gt;0,"⚠ Review ties","✓ Clear")</f>
        <v>✓ Clear</v>
      </c>
      <c r="G28" s="27"/>
      <c r="H28" s="27"/>
      <c r="I28" s="27" t="str">
        <f aca="false">IF(COUNTIF('🟢 Op. Continuity'!N10:N17,"⚠ NEAR_TIE")&gt;0,"⚠ Review ties","✓ Clear")</f>
        <v>✓ Clear</v>
      </c>
      <c r="J28" s="27"/>
      <c r="K28" s="27"/>
    </row>
    <row r="30" customFormat="false" ht="13.5" hidden="false" customHeight="true" outlineLevel="0" collapsed="false">
      <c r="B30" s="10" t="s">
        <v>35</v>
      </c>
    </row>
    <row r="31" customFormat="false" ht="19.5" hidden="false" customHeight="true" outlineLevel="0" collapsed="false">
      <c r="B31" s="26" t="s">
        <v>36</v>
      </c>
      <c r="C31" s="29" t="s">
        <v>37</v>
      </c>
      <c r="D31" s="29"/>
      <c r="E31" s="29"/>
      <c r="F31" s="29"/>
      <c r="G31" s="29"/>
      <c r="H31" s="29"/>
      <c r="I31" s="29"/>
      <c r="J31" s="29"/>
    </row>
    <row r="32" customFormat="false" ht="19.5" hidden="false" customHeight="true" outlineLevel="0" collapsed="false">
      <c r="B32" s="26" t="s">
        <v>38</v>
      </c>
      <c r="C32" s="29" t="s">
        <v>39</v>
      </c>
      <c r="D32" s="29"/>
      <c r="E32" s="29"/>
      <c r="F32" s="29"/>
      <c r="G32" s="29"/>
      <c r="H32" s="29"/>
      <c r="I32" s="29"/>
      <c r="J32" s="29"/>
    </row>
    <row r="33" customFormat="false" ht="19.5" hidden="false" customHeight="true" outlineLevel="0" collapsed="false">
      <c r="B33" s="26" t="s">
        <v>40</v>
      </c>
      <c r="C33" s="29" t="s">
        <v>41</v>
      </c>
      <c r="D33" s="29"/>
      <c r="E33" s="29"/>
      <c r="F33" s="29"/>
      <c r="G33" s="29"/>
      <c r="H33" s="29"/>
      <c r="I33" s="29"/>
      <c r="J33" s="29"/>
    </row>
    <row r="34" customFormat="false" ht="19.5" hidden="false" customHeight="true" outlineLevel="0" collapsed="false">
      <c r="B34" s="26" t="s">
        <v>42</v>
      </c>
      <c r="C34" s="29" t="s">
        <v>43</v>
      </c>
      <c r="D34" s="29"/>
      <c r="E34" s="29"/>
      <c r="F34" s="29"/>
      <c r="G34" s="29"/>
      <c r="H34" s="29"/>
      <c r="I34" s="29"/>
      <c r="J34" s="29"/>
    </row>
    <row r="35" customFormat="false" ht="19.5" hidden="false" customHeight="true" outlineLevel="0" collapsed="false">
      <c r="B35" s="26" t="s">
        <v>44</v>
      </c>
      <c r="C35" s="29" t="s">
        <v>45</v>
      </c>
      <c r="D35" s="29"/>
      <c r="E35" s="29"/>
      <c r="F35" s="29"/>
      <c r="G35" s="29"/>
      <c r="H35" s="29"/>
      <c r="I35" s="29"/>
      <c r="J35" s="29"/>
    </row>
    <row r="36" customFormat="false" ht="19.5" hidden="false" customHeight="true" outlineLevel="0" collapsed="false">
      <c r="B36" s="26" t="s">
        <v>46</v>
      </c>
      <c r="C36" s="29" t="s">
        <v>47</v>
      </c>
      <c r="D36" s="29"/>
      <c r="E36" s="29"/>
      <c r="F36" s="29"/>
      <c r="G36" s="29"/>
      <c r="H36" s="29"/>
      <c r="I36" s="29"/>
      <c r="J36" s="29"/>
    </row>
    <row r="37" customFormat="false" ht="19.5" hidden="false" customHeight="true" outlineLevel="0" collapsed="false">
      <c r="B37" s="26" t="s">
        <v>48</v>
      </c>
      <c r="C37" s="29" t="s">
        <v>49</v>
      </c>
      <c r="D37" s="29"/>
      <c r="E37" s="29"/>
      <c r="F37" s="29"/>
      <c r="G37" s="29"/>
      <c r="H37" s="29"/>
      <c r="I37" s="29"/>
      <c r="J37" s="29"/>
    </row>
  </sheetData>
  <mergeCells count="27">
    <mergeCell ref="A2:M2"/>
    <mergeCell ref="A3:M3"/>
    <mergeCell ref="B23:D23"/>
    <mergeCell ref="E23:G23"/>
    <mergeCell ref="H23:J23"/>
    <mergeCell ref="C24:E24"/>
    <mergeCell ref="F24:H24"/>
    <mergeCell ref="I24:K24"/>
    <mergeCell ref="C25:E25"/>
    <mergeCell ref="F25:H25"/>
    <mergeCell ref="I25:K25"/>
    <mergeCell ref="C26:E26"/>
    <mergeCell ref="F26:H26"/>
    <mergeCell ref="I26:K26"/>
    <mergeCell ref="C27:E27"/>
    <mergeCell ref="F27:H27"/>
    <mergeCell ref="I27:K27"/>
    <mergeCell ref="C28:E28"/>
    <mergeCell ref="F28:H28"/>
    <mergeCell ref="I28:K28"/>
    <mergeCell ref="C31:J31"/>
    <mergeCell ref="C32:J32"/>
    <mergeCell ref="C33:J33"/>
    <mergeCell ref="C34:J34"/>
    <mergeCell ref="C35:J35"/>
    <mergeCell ref="C36:J36"/>
    <mergeCell ref="C37:J37"/>
  </mergeCells>
  <conditionalFormatting sqref="D13:D20">
    <cfRule type="colorScale" priority="2">
      <colorScale>
        <cfvo type="num" val="60"/>
        <cfvo type="num" val="80"/>
        <cfvo type="num" val="100"/>
        <color rgb="FFEF4444"/>
        <color rgb="FFF59E0B"/>
        <color rgb="FF22C55E"/>
      </colorScale>
    </cfRule>
  </conditionalFormatting>
  <conditionalFormatting sqref="G13:G20">
    <cfRule type="colorScale" priority="3">
      <colorScale>
        <cfvo type="num" val="60"/>
        <cfvo type="num" val="80"/>
        <cfvo type="num" val="100"/>
        <color rgb="FFEF4444"/>
        <color rgb="FFF59E0B"/>
        <color rgb="FF22C55E"/>
      </colorScale>
    </cfRule>
  </conditionalFormatting>
  <conditionalFormatting sqref="J13:J20">
    <cfRule type="colorScale" priority="4">
      <colorScale>
        <cfvo type="num" val="60"/>
        <cfvo type="num" val="80"/>
        <cfvo type="num" val="10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9" min="3" style="0" width="14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4" min="13" style="0" width="18"/>
    <col collapsed="false" customWidth="true" hidden="false" outlineLevel="0" max="15" min="15" style="0" width="16"/>
  </cols>
  <sheetData>
    <row r="1" customFormat="false" ht="6" hidden="false" customHeight="true" outlineLevel="0" collapsed="false"/>
    <row r="2" customFormat="false" ht="36" hidden="false" customHeight="true" outlineLevel="0" collapsed="false">
      <c r="A2" s="30" t="s">
        <v>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customFormat="false" ht="18" hidden="false" customHeight="true" outlineLevel="0" collapsed="false">
      <c r="A3" s="2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3.5" hidden="false" customHeight="true" outlineLevel="0" collapsed="false">
      <c r="A5" s="10" t="s">
        <v>52</v>
      </c>
      <c r="B5" s="31" t="s">
        <v>53</v>
      </c>
      <c r="C5" s="31" t="s">
        <v>54</v>
      </c>
      <c r="D5" s="31" t="s">
        <v>55</v>
      </c>
      <c r="E5" s="31" t="s">
        <v>56</v>
      </c>
      <c r="F5" s="31" t="s">
        <v>57</v>
      </c>
      <c r="H5" s="31" t="s">
        <v>58</v>
      </c>
    </row>
    <row r="6" customFormat="false" ht="24" hidden="false" customHeight="true" outlineLevel="0" collapsed="false">
      <c r="B6" s="32" t="n">
        <v>0.25</v>
      </c>
      <c r="C6" s="32" t="n">
        <v>0.25</v>
      </c>
      <c r="D6" s="32" t="n">
        <v>0.2</v>
      </c>
      <c r="E6" s="32" t="n">
        <v>0.15</v>
      </c>
      <c r="F6" s="32" t="n">
        <v>0.15</v>
      </c>
      <c r="H6" s="33" t="n">
        <f aca="false">SUM(B6,C6,D6,E6,F6)</f>
        <v>1</v>
      </c>
    </row>
    <row r="7" customFormat="false" ht="13.5" hidden="false" customHeight="true" outlineLevel="0" collapsed="false">
      <c r="B7" s="34" t="str">
        <f aca="false">IF(H6=1,"✓ Weights valid — sum = 1.00","⚠ Weights do not sum to 1.00 — adjust before running")</f>
        <v>✓ Weights valid — sum = 1.00</v>
      </c>
      <c r="C7" s="34"/>
      <c r="D7" s="34"/>
      <c r="E7" s="34"/>
      <c r="F7" s="34"/>
      <c r="G7" s="34"/>
      <c r="H7" s="34"/>
    </row>
    <row r="8" customFormat="false" ht="6" hidden="false" customHeight="true" outlineLevel="0" collapsed="false"/>
    <row r="9" customFormat="false" ht="31.5" hidden="false" customHeight="true" outlineLevel="0" collapsed="false">
      <c r="A9" s="35" t="s">
        <v>59</v>
      </c>
      <c r="B9" s="35" t="s">
        <v>60</v>
      </c>
      <c r="C9" s="35" t="s">
        <v>61</v>
      </c>
      <c r="D9" s="35" t="s">
        <v>62</v>
      </c>
      <c r="E9" s="35" t="s">
        <v>63</v>
      </c>
      <c r="F9" s="35" t="s">
        <v>64</v>
      </c>
      <c r="G9" s="35" t="s">
        <v>65</v>
      </c>
      <c r="H9" s="35" t="s">
        <v>66</v>
      </c>
      <c r="I9" s="35" t="s">
        <v>57</v>
      </c>
      <c r="J9" s="35" t="s">
        <v>67</v>
      </c>
      <c r="K9" s="35" t="s">
        <v>68</v>
      </c>
      <c r="L9" s="35" t="s">
        <v>69</v>
      </c>
      <c r="M9" s="35" t="s">
        <v>70</v>
      </c>
      <c r="N9" s="35" t="s">
        <v>71</v>
      </c>
      <c r="O9" s="35" t="s">
        <v>32</v>
      </c>
    </row>
    <row r="10" customFormat="false" ht="19.5" hidden="false" customHeight="true" outlineLevel="0" collapsed="false">
      <c r="A10" s="36" t="n">
        <v>1</v>
      </c>
      <c r="B10" s="37" t="s">
        <v>72</v>
      </c>
      <c r="C10" s="38" t="s">
        <v>73</v>
      </c>
      <c r="D10" s="39" t="n">
        <f aca="false">RANK(J10,$J$10:$J$17,0)</f>
        <v>1</v>
      </c>
      <c r="E10" s="40" t="n">
        <v>98</v>
      </c>
      <c r="F10" s="40" t="n">
        <v>91</v>
      </c>
      <c r="G10" s="40" t="n">
        <v>90</v>
      </c>
      <c r="H10" s="40" t="n">
        <v>95</v>
      </c>
      <c r="I10" s="40" t="n">
        <v>92</v>
      </c>
      <c r="J10" s="41" t="n">
        <f aca="false">ROUND(E10*B6+F10*C6+G10*D6+H10*E6+I10*F6,1)</f>
        <v>93.3</v>
      </c>
      <c r="K10" s="42" t="str">
        <f aca="false">IF(J10&gt;=90,"STRONG FIT",IF(J10&gt;=80,"GOOD FIT",IF(J10&gt;=70,"MODERATE FIT","BELOW THRESHOLD")))</f>
        <v>STRONG FIT</v>
      </c>
      <c r="L10" s="43" t="n">
        <f aca="false">ROUND(J10-AVERAGE($J$10:$J$17),1)</f>
        <v>13.8</v>
      </c>
      <c r="M10" s="44" t="s">
        <v>74</v>
      </c>
      <c r="N10" s="24" t="str">
        <f aca="false">IF(AND(D10&lt;=2,ABS(J10-IF(D10=1,LARGE($J$10:$J$17,2),LARGE($J$10:$J$17,1)))&lt;=2),"⚠ NEAR_TIE",IF(COUNTIF(E10:I10,"")&gt;2,"INSUFFICIENT_DATA","CLEAR"))</f>
        <v>CLEAR</v>
      </c>
      <c r="O10" s="42" t="str">
        <f aca="false">IF(J10&gt;=88,"SHORTLIST",IF(J10&gt;=80,"REVIEW",IF(J10&gt;=70,"HOLD","REJECT")))</f>
        <v>SHORTLIST</v>
      </c>
    </row>
    <row r="11" customFormat="false" ht="19.5" hidden="false" customHeight="true" outlineLevel="0" collapsed="false">
      <c r="A11" s="45" t="n">
        <v>2</v>
      </c>
      <c r="B11" s="37" t="s">
        <v>75</v>
      </c>
      <c r="C11" s="38" t="s">
        <v>76</v>
      </c>
      <c r="D11" s="46" t="n">
        <f aca="false">RANK(J11,$J$10:$J$17,0)</f>
        <v>2</v>
      </c>
      <c r="E11" s="40" t="n">
        <v>85</v>
      </c>
      <c r="F11" s="40" t="n">
        <v>90</v>
      </c>
      <c r="G11" s="40" t="n">
        <v>88</v>
      </c>
      <c r="H11" s="40" t="n">
        <v>82</v>
      </c>
      <c r="I11" s="40" t="n">
        <v>85</v>
      </c>
      <c r="J11" s="47" t="n">
        <f aca="false">ROUND(E11*B6+F11*C6+G11*D6+H11*E6+I11*F6,1)</f>
        <v>86.4</v>
      </c>
      <c r="K11" s="48" t="str">
        <f aca="false">IF(J11&gt;=90,"STRONG FIT",IF(J11&gt;=80,"GOOD FIT",IF(J11&gt;=70,"MODERATE FIT","BELOW THRESHOLD")))</f>
        <v>GOOD FIT</v>
      </c>
      <c r="L11" s="49" t="n">
        <f aca="false">ROUND(J11-AVERAGE($J$10:$J$17),1)</f>
        <v>6.9</v>
      </c>
      <c r="M11" s="44" t="s">
        <v>77</v>
      </c>
      <c r="N11" s="17" t="str">
        <f aca="false">IF(AND(D11&lt;=2,ABS(J11-IF(D11=1,LARGE($J$10:$J$17,2),LARGE($J$10:$J$17,1)))&lt;=2),"⚠ NEAR_TIE",IF(COUNTIF(E11:I11,"")&gt;2,"INSUFFICIENT_DATA","CLEAR"))</f>
        <v>CLEAR</v>
      </c>
      <c r="O11" s="48" t="str">
        <f aca="false">IF(J11&gt;=88,"SHORTLIST",IF(J11&gt;=80,"REVIEW",IF(J11&gt;=70,"HOLD","REJECT")))</f>
        <v>REVIEW</v>
      </c>
    </row>
    <row r="12" customFormat="false" ht="19.5" hidden="false" customHeight="true" outlineLevel="0" collapsed="false">
      <c r="A12" s="36" t="n">
        <v>3</v>
      </c>
      <c r="B12" s="37" t="s">
        <v>78</v>
      </c>
      <c r="C12" s="38" t="s">
        <v>73</v>
      </c>
      <c r="D12" s="39" t="n">
        <f aca="false">RANK(J12,$J$10:$J$17,0)</f>
        <v>3</v>
      </c>
      <c r="E12" s="40" t="n">
        <v>80</v>
      </c>
      <c r="F12" s="40" t="n">
        <v>84</v>
      </c>
      <c r="G12" s="40" t="n">
        <v>85</v>
      </c>
      <c r="H12" s="40" t="n">
        <v>83</v>
      </c>
      <c r="I12" s="40" t="n">
        <v>82</v>
      </c>
      <c r="J12" s="41" t="n">
        <f aca="false">ROUND(E12*B6+F12*C6+G12*D6+H12*E6+I12*F6,1)</f>
        <v>82.8</v>
      </c>
      <c r="K12" s="42" t="str">
        <f aca="false">IF(J12&gt;=90,"STRONG FIT",IF(J12&gt;=80,"GOOD FIT",IF(J12&gt;=70,"MODERATE FIT","BELOW THRESHOLD")))</f>
        <v>GOOD FIT</v>
      </c>
      <c r="L12" s="43" t="n">
        <f aca="false">ROUND(J12-AVERAGE($J$10:$J$17),1)</f>
        <v>3.3</v>
      </c>
      <c r="M12" s="44" t="s">
        <v>79</v>
      </c>
      <c r="N12" s="24" t="str">
        <f aca="false">IF(AND(D12&lt;=2,ABS(J12-IF(D12=1,LARGE($J$10:$J$17,2),LARGE($J$10:$J$17,1)))&lt;=2),"⚠ NEAR_TIE",IF(COUNTIF(E12:I12,"")&gt;2,"INSUFFICIENT_DATA","CLEAR"))</f>
        <v>CLEAR</v>
      </c>
      <c r="O12" s="42" t="str">
        <f aca="false">IF(J12&gt;=88,"SHORTLIST",IF(J12&gt;=80,"REVIEW",IF(J12&gt;=70,"HOLD","REJECT")))</f>
        <v>REVIEW</v>
      </c>
    </row>
    <row r="13" customFormat="false" ht="19.5" hidden="false" customHeight="true" outlineLevel="0" collapsed="false">
      <c r="A13" s="45" t="n">
        <v>4</v>
      </c>
      <c r="B13" s="37" t="s">
        <v>80</v>
      </c>
      <c r="C13" s="38" t="s">
        <v>76</v>
      </c>
      <c r="D13" s="46" t="n">
        <f aca="false">RANK(J13,$J$10:$J$17,0)</f>
        <v>4</v>
      </c>
      <c r="E13" s="40" t="n">
        <v>79</v>
      </c>
      <c r="F13" s="40" t="n">
        <v>82</v>
      </c>
      <c r="G13" s="40" t="n">
        <v>80</v>
      </c>
      <c r="H13" s="40" t="n">
        <v>81</v>
      </c>
      <c r="I13" s="40" t="n">
        <v>80</v>
      </c>
      <c r="J13" s="47" t="n">
        <f aca="false">ROUND(E13*B6+F13*C6+G13*D6+H13*E6+I13*F6,1)</f>
        <v>80.4</v>
      </c>
      <c r="K13" s="48" t="str">
        <f aca="false">IF(J13&gt;=90,"STRONG FIT",IF(J13&gt;=80,"GOOD FIT",IF(J13&gt;=70,"MODERATE FIT","BELOW THRESHOLD")))</f>
        <v>GOOD FIT</v>
      </c>
      <c r="L13" s="49" t="n">
        <f aca="false">ROUND(J13-AVERAGE($J$10:$J$17),1)</f>
        <v>0.9</v>
      </c>
      <c r="M13" s="44" t="s">
        <v>81</v>
      </c>
      <c r="N13" s="17" t="str">
        <f aca="false">IF(AND(D13&lt;=2,ABS(J13-IF(D13=1,LARGE($J$10:$J$17,2),LARGE($J$10:$J$17,1)))&lt;=2),"⚠ NEAR_TIE",IF(COUNTIF(E13:I13,"")&gt;2,"INSUFFICIENT_DATA","CLEAR"))</f>
        <v>CLEAR</v>
      </c>
      <c r="O13" s="48" t="str">
        <f aca="false">IF(J13&gt;=88,"SHORTLIST",IF(J13&gt;=80,"REVIEW",IF(J13&gt;=70,"HOLD","REJECT")))</f>
        <v>REVIEW</v>
      </c>
    </row>
    <row r="14" customFormat="false" ht="19.5" hidden="false" customHeight="true" outlineLevel="0" collapsed="false">
      <c r="A14" s="36" t="n">
        <v>5</v>
      </c>
      <c r="B14" s="37" t="s">
        <v>82</v>
      </c>
      <c r="C14" s="38" t="s">
        <v>73</v>
      </c>
      <c r="D14" s="39" t="n">
        <f aca="false">RANK(J14,$J$10:$J$17,0)</f>
        <v>5</v>
      </c>
      <c r="E14" s="40" t="n">
        <v>76</v>
      </c>
      <c r="F14" s="40" t="n">
        <v>80</v>
      </c>
      <c r="G14" s="40" t="n">
        <v>78</v>
      </c>
      <c r="H14" s="40" t="n">
        <v>79</v>
      </c>
      <c r="I14" s="40" t="n">
        <v>77</v>
      </c>
      <c r="J14" s="41" t="n">
        <f aca="false">ROUND(E14*B6+F14*C6+G14*D6+H14*E6+I14*F6,1)</f>
        <v>78</v>
      </c>
      <c r="K14" s="42" t="str">
        <f aca="false">IF(J14&gt;=90,"STRONG FIT",IF(J14&gt;=80,"GOOD FIT",IF(J14&gt;=70,"MODERATE FIT","BELOW THRESHOLD")))</f>
        <v>MODERATE FIT</v>
      </c>
      <c r="L14" s="43" t="n">
        <f aca="false">ROUND(J14-AVERAGE($J$10:$J$17),1)</f>
        <v>-1.5</v>
      </c>
      <c r="M14" s="44" t="s">
        <v>83</v>
      </c>
      <c r="N14" s="24" t="str">
        <f aca="false">IF(AND(D14&lt;=2,ABS(J14-IF(D14=1,LARGE($J$10:$J$17,2),LARGE($J$10:$J$17,1)))&lt;=2),"⚠ NEAR_TIE",IF(COUNTIF(E14:I14,"")&gt;2,"INSUFFICIENT_DATA","CLEAR"))</f>
        <v>CLEAR</v>
      </c>
      <c r="O14" s="42" t="str">
        <f aca="false">IF(J14&gt;=88,"SHORTLIST",IF(J14&gt;=80,"REVIEW",IF(J14&gt;=70,"HOLD","REJECT")))</f>
        <v>HOLD</v>
      </c>
    </row>
    <row r="15" customFormat="false" ht="19.5" hidden="false" customHeight="true" outlineLevel="0" collapsed="false">
      <c r="A15" s="45" t="n">
        <v>6</v>
      </c>
      <c r="B15" s="37" t="s">
        <v>84</v>
      </c>
      <c r="C15" s="38" t="s">
        <v>76</v>
      </c>
      <c r="D15" s="46" t="n">
        <f aca="false">RANK(J15,$J$10:$J$17,0)</f>
        <v>6</v>
      </c>
      <c r="E15" s="40" t="n">
        <v>72</v>
      </c>
      <c r="F15" s="40" t="n">
        <v>76</v>
      </c>
      <c r="G15" s="40" t="n">
        <v>75</v>
      </c>
      <c r="H15" s="40" t="n">
        <v>74</v>
      </c>
      <c r="I15" s="40" t="n">
        <v>73</v>
      </c>
      <c r="J15" s="47" t="n">
        <f aca="false">ROUND(E15*B6+F15*C6+G15*D6+H15*E6+I15*F6,1)</f>
        <v>74.1</v>
      </c>
      <c r="K15" s="48" t="str">
        <f aca="false">IF(J15&gt;=90,"STRONG FIT",IF(J15&gt;=80,"GOOD FIT",IF(J15&gt;=70,"MODERATE FIT","BELOW THRESHOLD")))</f>
        <v>MODERATE FIT</v>
      </c>
      <c r="L15" s="49" t="n">
        <f aca="false">ROUND(J15-AVERAGE($J$10:$J$17),1)</f>
        <v>-5.4</v>
      </c>
      <c r="M15" s="44" t="s">
        <v>85</v>
      </c>
      <c r="N15" s="17" t="str">
        <f aca="false">IF(AND(D15&lt;=2,ABS(J15-IF(D15=1,LARGE($J$10:$J$17,2),LARGE($J$10:$J$17,1)))&lt;=2),"⚠ NEAR_TIE",IF(COUNTIF(E15:I15,"")&gt;2,"INSUFFICIENT_DATA","CLEAR"))</f>
        <v>CLEAR</v>
      </c>
      <c r="O15" s="48" t="str">
        <f aca="false">IF(J15&gt;=88,"SHORTLIST",IF(J15&gt;=80,"REVIEW",IF(J15&gt;=70,"HOLD","REJECT")))</f>
        <v>HOLD</v>
      </c>
    </row>
    <row r="16" customFormat="false" ht="19.5" hidden="false" customHeight="true" outlineLevel="0" collapsed="false">
      <c r="A16" s="36" t="n">
        <v>7</v>
      </c>
      <c r="B16" s="37" t="s">
        <v>86</v>
      </c>
      <c r="C16" s="38" t="s">
        <v>73</v>
      </c>
      <c r="D16" s="39" t="n">
        <f aca="false">RANK(J16,$J$10:$J$17,0)</f>
        <v>7</v>
      </c>
      <c r="E16" s="40" t="n">
        <v>70</v>
      </c>
      <c r="F16" s="40" t="n">
        <v>74</v>
      </c>
      <c r="G16" s="40" t="n">
        <v>72</v>
      </c>
      <c r="H16" s="40" t="n">
        <v>71</v>
      </c>
      <c r="I16" s="40" t="n">
        <v>70</v>
      </c>
      <c r="J16" s="41" t="n">
        <f aca="false">ROUND(E16*B6+F16*C6+G16*D6+H16*E6+I16*F6,1)</f>
        <v>71.6</v>
      </c>
      <c r="K16" s="42" t="str">
        <f aca="false">IF(J16&gt;=90,"STRONG FIT",IF(J16&gt;=80,"GOOD FIT",IF(J16&gt;=70,"MODERATE FIT","BELOW THRESHOLD")))</f>
        <v>MODERATE FIT</v>
      </c>
      <c r="L16" s="43" t="n">
        <f aca="false">ROUND(J16-AVERAGE($J$10:$J$17),1)</f>
        <v>-7.9</v>
      </c>
      <c r="M16" s="44" t="s">
        <v>87</v>
      </c>
      <c r="N16" s="24" t="str">
        <f aca="false">IF(AND(D16&lt;=2,ABS(J16-IF(D16=1,LARGE($J$10:$J$17,2),LARGE($J$10:$J$17,1)))&lt;=2),"⚠ NEAR_TIE",IF(COUNTIF(E16:I16,"")&gt;2,"INSUFFICIENT_DATA","CLEAR"))</f>
        <v>CLEAR</v>
      </c>
      <c r="O16" s="42" t="str">
        <f aca="false">IF(J16&gt;=88,"SHORTLIST",IF(J16&gt;=80,"REVIEW",IF(J16&gt;=70,"HOLD","REJECT")))</f>
        <v>HOLD</v>
      </c>
    </row>
    <row r="17" customFormat="false" ht="19.5" hidden="false" customHeight="true" outlineLevel="0" collapsed="false">
      <c r="A17" s="45" t="n">
        <v>8</v>
      </c>
      <c r="B17" s="37" t="s">
        <v>88</v>
      </c>
      <c r="C17" s="38" t="s">
        <v>76</v>
      </c>
      <c r="D17" s="46" t="n">
        <f aca="false">RANK(J17,$J$10:$J$17,0)</f>
        <v>8</v>
      </c>
      <c r="E17" s="40" t="n">
        <v>68</v>
      </c>
      <c r="F17" s="40" t="n">
        <v>72</v>
      </c>
      <c r="G17" s="40" t="n">
        <v>70</v>
      </c>
      <c r="H17" s="40" t="n">
        <v>69</v>
      </c>
      <c r="I17" s="40" t="n">
        <v>68</v>
      </c>
      <c r="J17" s="47" t="n">
        <f aca="false">ROUND(E17*B6+F17*C6+G17*D6+H17*E6+I17*F6,1)</f>
        <v>69.6</v>
      </c>
      <c r="K17" s="48" t="str">
        <f aca="false">IF(J17&gt;=90,"STRONG FIT",IF(J17&gt;=80,"GOOD FIT",IF(J17&gt;=70,"MODERATE FIT","BELOW THRESHOLD")))</f>
        <v>BELOW THRESHOLD</v>
      </c>
      <c r="L17" s="49" t="n">
        <f aca="false">ROUND(J17-AVERAGE($J$10:$J$17),1)</f>
        <v>-9.9</v>
      </c>
      <c r="M17" s="44" t="s">
        <v>89</v>
      </c>
      <c r="N17" s="17" t="str">
        <f aca="false">IF(AND(D17&lt;=2,ABS(J17-IF(D17=1,LARGE($J$10:$J$17,2),LARGE($J$10:$J$17,1)))&lt;=2),"⚠ NEAR_TIE",IF(COUNTIF(E17:I17,"")&gt;2,"INSUFFICIENT_DATA","CLEAR"))</f>
        <v>CLEAR</v>
      </c>
      <c r="O17" s="48" t="str">
        <f aca="false">IF(J17&gt;=88,"SHORTLIST",IF(J17&gt;=80,"REVIEW",IF(J17&gt;=70,"HOLD","REJECT")))</f>
        <v>REJECT</v>
      </c>
    </row>
    <row r="19" customFormat="false" ht="13.5" hidden="false" customHeight="true" outlineLevel="0" collapsed="false">
      <c r="A19" s="10" t="s">
        <v>90</v>
      </c>
      <c r="R19" s="50" t="n">
        <v>98</v>
      </c>
      <c r="S19" s="50" t="n">
        <v>72</v>
      </c>
      <c r="T19" s="50" t="n">
        <v>65</v>
      </c>
      <c r="U19" s="50" t="n">
        <v>80</v>
      </c>
      <c r="V19" s="50" t="n">
        <v>70</v>
      </c>
      <c r="W19" s="50" t="n">
        <v>55</v>
      </c>
      <c r="X19" s="50" t="n">
        <v>60</v>
      </c>
      <c r="Y19" s="50" t="n">
        <v>50</v>
      </c>
    </row>
    <row r="20" customFormat="false" ht="18" hidden="false" customHeight="true" outlineLevel="0" collapsed="false">
      <c r="A20" s="51" t="s">
        <v>91</v>
      </c>
      <c r="B20" s="52" t="n">
        <f aca="false">ROUND(AVERAGE(J10:J17),1)</f>
        <v>79.5</v>
      </c>
      <c r="C20" s="52"/>
      <c r="D20" s="52"/>
      <c r="R20" s="50" t="n">
        <v>91</v>
      </c>
      <c r="S20" s="50" t="n">
        <v>85</v>
      </c>
      <c r="T20" s="50" t="n">
        <v>70</v>
      </c>
      <c r="U20" s="50" t="n">
        <v>75</v>
      </c>
      <c r="V20" s="50" t="n">
        <v>80</v>
      </c>
      <c r="W20" s="50" t="n">
        <v>72</v>
      </c>
      <c r="X20" s="50" t="n">
        <v>74</v>
      </c>
      <c r="Y20" s="50" t="n">
        <v>68</v>
      </c>
    </row>
    <row r="21" customFormat="false" ht="18" hidden="false" customHeight="true" outlineLevel="0" collapsed="false">
      <c r="A21" s="51" t="s">
        <v>92</v>
      </c>
      <c r="B21" s="52" t="n">
        <f aca="false">MAX(J10:J17)</f>
        <v>93.3</v>
      </c>
      <c r="C21" s="52"/>
      <c r="D21" s="52"/>
      <c r="R21" s="50" t="n">
        <v>84</v>
      </c>
      <c r="S21" s="50" t="n">
        <v>80</v>
      </c>
      <c r="T21" s="50" t="n">
        <v>90</v>
      </c>
      <c r="U21" s="50" t="n">
        <v>72</v>
      </c>
      <c r="V21" s="50" t="n">
        <v>68</v>
      </c>
      <c r="W21" s="50" t="n">
        <v>74</v>
      </c>
      <c r="X21" s="50" t="n">
        <v>66</v>
      </c>
      <c r="Y21" s="50" t="n">
        <v>70</v>
      </c>
    </row>
    <row r="22" customFormat="false" ht="18" hidden="false" customHeight="true" outlineLevel="0" collapsed="false">
      <c r="A22" s="51" t="s">
        <v>93</v>
      </c>
      <c r="B22" s="52" t="n">
        <f aca="false">MIN(J10:J17)</f>
        <v>69.6</v>
      </c>
      <c r="C22" s="52"/>
      <c r="D22" s="52"/>
      <c r="R22" s="50" t="n">
        <v>95</v>
      </c>
      <c r="S22" s="50" t="n">
        <v>82</v>
      </c>
      <c r="T22" s="50" t="n">
        <v>78</v>
      </c>
      <c r="U22" s="50" t="n">
        <v>70</v>
      </c>
      <c r="V22" s="50" t="n">
        <v>72</v>
      </c>
      <c r="W22" s="50" t="n">
        <v>76</v>
      </c>
      <c r="X22" s="50" t="n">
        <v>68</v>
      </c>
      <c r="Y22" s="50" t="n">
        <v>64</v>
      </c>
    </row>
    <row r="23" customFormat="false" ht="18" hidden="false" customHeight="true" outlineLevel="0" collapsed="false">
      <c r="A23" s="51" t="s">
        <v>94</v>
      </c>
      <c r="B23" s="52" t="n">
        <f aca="false">ROUND(AVERAGEIF(C10:C17,"Internal",J10:J17),1)</f>
        <v>81.4</v>
      </c>
      <c r="C23" s="52"/>
      <c r="D23" s="52"/>
      <c r="R23" s="50" t="n">
        <v>92</v>
      </c>
      <c r="S23" s="50" t="n">
        <v>78</v>
      </c>
      <c r="T23" s="50" t="n">
        <v>72</v>
      </c>
      <c r="U23" s="50" t="n">
        <v>85</v>
      </c>
      <c r="V23" s="50" t="n">
        <v>70</v>
      </c>
      <c r="W23" s="50" t="n">
        <v>62</v>
      </c>
      <c r="X23" s="50" t="n">
        <v>60</v>
      </c>
      <c r="Y23" s="50" t="n">
        <v>58</v>
      </c>
    </row>
    <row r="24" customFormat="false" ht="18" hidden="false" customHeight="true" outlineLevel="0" collapsed="false">
      <c r="A24" s="51" t="s">
        <v>95</v>
      </c>
      <c r="B24" s="52" t="n">
        <f aca="false">ROUND(AVERAGEIF(C10:C17,"External",J10:J17),1)</f>
        <v>77.6</v>
      </c>
      <c r="C24" s="52"/>
      <c r="D24" s="52"/>
      <c r="R24" s="50" t="n">
        <v>87</v>
      </c>
      <c r="S24" s="50" t="n">
        <v>80</v>
      </c>
      <c r="T24" s="50" t="n">
        <v>75</v>
      </c>
      <c r="U24" s="50" t="n">
        <v>70</v>
      </c>
      <c r="V24" s="50" t="n">
        <v>72</v>
      </c>
      <c r="W24" s="50" t="n">
        <v>68</v>
      </c>
      <c r="X24" s="50" t="n">
        <v>74</v>
      </c>
      <c r="Y24" s="50" t="n">
        <v>72</v>
      </c>
    </row>
    <row r="25" customFormat="false" ht="18" hidden="false" customHeight="true" outlineLevel="0" collapsed="false">
      <c r="A25" s="51" t="s">
        <v>96</v>
      </c>
      <c r="B25" s="53" t="n">
        <f aca="false">COUNTIF(O10:O17,"SHORTLIST")</f>
        <v>1</v>
      </c>
      <c r="C25" s="53"/>
      <c r="D25" s="53"/>
      <c r="R25" s="50" t="n">
        <v>96</v>
      </c>
      <c r="S25" s="50" t="n">
        <v>70</v>
      </c>
      <c r="T25" s="50" t="n">
        <v>68</v>
      </c>
      <c r="U25" s="50" t="n">
        <v>65</v>
      </c>
      <c r="V25" s="50" t="n">
        <v>75</v>
      </c>
      <c r="W25" s="50" t="n">
        <v>80</v>
      </c>
      <c r="X25" s="50" t="n">
        <v>82</v>
      </c>
      <c r="Y25" s="50" t="n">
        <v>78</v>
      </c>
    </row>
    <row r="26" customFormat="false" ht="18" hidden="false" customHeight="true" outlineLevel="0" collapsed="false">
      <c r="A26" s="51" t="s">
        <v>97</v>
      </c>
      <c r="B26" s="53" t="n">
        <f aca="false">COUNTIF(N10:N17,"⚠ NEAR_TIE")</f>
        <v>0</v>
      </c>
      <c r="C26" s="53"/>
      <c r="D26" s="53"/>
    </row>
    <row r="27" customFormat="false" ht="18" hidden="false" customHeight="true" outlineLevel="0" collapsed="false">
      <c r="A27" s="51" t="s">
        <v>30</v>
      </c>
      <c r="B27" s="53" t="str">
        <f aca="false">INDEX(B10:B17,MATCH(1,D10:D17,0))</f>
        <v>Anna Keller</v>
      </c>
      <c r="C27" s="53"/>
      <c r="D27" s="53"/>
    </row>
    <row r="28" customFormat="false" ht="18" hidden="false" customHeight="true" outlineLevel="0" collapsed="false">
      <c r="A28" s="51" t="s">
        <v>98</v>
      </c>
      <c r="B28" s="52" t="n">
        <f aca="false">MAX(J10:J17)</f>
        <v>93.3</v>
      </c>
      <c r="C28" s="52"/>
      <c r="D28" s="52"/>
    </row>
    <row r="29" customFormat="false" ht="13.5" hidden="false" customHeight="true" outlineLevel="0" collapsed="false">
      <c r="A29" s="10" t="s">
        <v>99</v>
      </c>
    </row>
    <row r="30" customFormat="false" ht="30" hidden="false" customHeight="true" outlineLevel="0" collapsed="false">
      <c r="A30" s="35" t="s">
        <v>13</v>
      </c>
      <c r="B30" s="35" t="s">
        <v>14</v>
      </c>
      <c r="C30" s="11" t="s">
        <v>100</v>
      </c>
      <c r="D30" s="11" t="s">
        <v>101</v>
      </c>
      <c r="E30" s="11" t="s">
        <v>102</v>
      </c>
      <c r="F30" s="11" t="s">
        <v>103</v>
      </c>
      <c r="G30" s="11" t="s">
        <v>104</v>
      </c>
      <c r="H30" s="11" t="s">
        <v>105</v>
      </c>
      <c r="I30" s="11" t="s">
        <v>106</v>
      </c>
      <c r="J30" s="35" t="s">
        <v>107</v>
      </c>
      <c r="K30" s="35" t="s">
        <v>108</v>
      </c>
    </row>
    <row r="31" customFormat="false" ht="19.5" hidden="false" customHeight="true" outlineLevel="0" collapsed="false">
      <c r="A31" s="54" t="str">
        <f aca="false">B10</f>
        <v>Anna Keller</v>
      </c>
      <c r="B31" s="17" t="str">
        <f aca="false">C10</f>
        <v>Internal</v>
      </c>
      <c r="C31" s="55" t="n">
        <f aca="false">R19</f>
        <v>98</v>
      </c>
      <c r="D31" s="55" t="n">
        <f aca="false">R20</f>
        <v>91</v>
      </c>
      <c r="E31" s="55" t="n">
        <f aca="false">R21</f>
        <v>84</v>
      </c>
      <c r="F31" s="55" t="n">
        <f aca="false">R22</f>
        <v>95</v>
      </c>
      <c r="G31" s="55" t="n">
        <f aca="false">R23</f>
        <v>92</v>
      </c>
      <c r="H31" s="55" t="n">
        <f aca="false">R24</f>
        <v>87</v>
      </c>
      <c r="I31" s="55" t="n">
        <f aca="false">R25</f>
        <v>96</v>
      </c>
      <c r="J31" s="56" t="n">
        <f aca="false">ROUND(AVERAGE(C31:I31),1)</f>
        <v>91.9</v>
      </c>
      <c r="K31" s="57" t="n">
        <f aca="false">ROUND(J31-ROUND(AVERAGE(J31,J32,J33,J34,J35,J36,J37,J38),1),1)</f>
        <v>17.6</v>
      </c>
    </row>
    <row r="32" customFormat="false" ht="19.5" hidden="false" customHeight="true" outlineLevel="0" collapsed="false">
      <c r="A32" s="58" t="str">
        <f aca="false">B11</f>
        <v>Marcus Thorne</v>
      </c>
      <c r="B32" s="24" t="str">
        <f aca="false">C11</f>
        <v>External</v>
      </c>
      <c r="C32" s="59" t="n">
        <f aca="false">S19</f>
        <v>72</v>
      </c>
      <c r="D32" s="59" t="n">
        <f aca="false">S20</f>
        <v>85</v>
      </c>
      <c r="E32" s="59" t="n">
        <f aca="false">S21</f>
        <v>80</v>
      </c>
      <c r="F32" s="59" t="n">
        <f aca="false">S22</f>
        <v>82</v>
      </c>
      <c r="G32" s="59" t="n">
        <f aca="false">S23</f>
        <v>78</v>
      </c>
      <c r="H32" s="59" t="n">
        <f aca="false">S24</f>
        <v>80</v>
      </c>
      <c r="I32" s="59" t="n">
        <f aca="false">S25</f>
        <v>70</v>
      </c>
      <c r="J32" s="60" t="n">
        <f aca="false">ROUND(AVERAGE(C32:I32),1)</f>
        <v>78.1</v>
      </c>
      <c r="K32" s="61" t="n">
        <f aca="false">ROUND(J32-ROUND(AVERAGE(J31,J32,J33,J34,J35,J36,J37,J38),1),1)</f>
        <v>3.8</v>
      </c>
    </row>
    <row r="33" customFormat="false" ht="19.5" hidden="false" customHeight="true" outlineLevel="0" collapsed="false">
      <c r="A33" s="54" t="str">
        <f aca="false">B12</f>
        <v>Elena Rodriguez</v>
      </c>
      <c r="B33" s="17" t="str">
        <f aca="false">C12</f>
        <v>Internal</v>
      </c>
      <c r="C33" s="55" t="n">
        <f aca="false">T19</f>
        <v>65</v>
      </c>
      <c r="D33" s="55" t="n">
        <f aca="false">T20</f>
        <v>70</v>
      </c>
      <c r="E33" s="55" t="n">
        <f aca="false">T21</f>
        <v>90</v>
      </c>
      <c r="F33" s="55" t="n">
        <f aca="false">T22</f>
        <v>78</v>
      </c>
      <c r="G33" s="55" t="n">
        <f aca="false">T23</f>
        <v>72</v>
      </c>
      <c r="H33" s="55" t="n">
        <f aca="false">T24</f>
        <v>75</v>
      </c>
      <c r="I33" s="55" t="n">
        <f aca="false">T25</f>
        <v>68</v>
      </c>
      <c r="J33" s="56" t="n">
        <f aca="false">ROUND(AVERAGE(C33:I33),1)</f>
        <v>74</v>
      </c>
      <c r="K33" s="57" t="n">
        <f aca="false">ROUND(J33-ROUND(AVERAGE(J31,J32,J33,J34,J35,J36,J37,J38),1),1)</f>
        <v>-0.3</v>
      </c>
    </row>
    <row r="34" customFormat="false" ht="19.5" hidden="false" customHeight="true" outlineLevel="0" collapsed="false">
      <c r="A34" s="58" t="str">
        <f aca="false">B13</f>
        <v>David Chen</v>
      </c>
      <c r="B34" s="24" t="str">
        <f aca="false">C13</f>
        <v>External</v>
      </c>
      <c r="C34" s="59" t="n">
        <f aca="false">U19</f>
        <v>80</v>
      </c>
      <c r="D34" s="59" t="n">
        <f aca="false">U20</f>
        <v>75</v>
      </c>
      <c r="E34" s="59" t="n">
        <f aca="false">U21</f>
        <v>72</v>
      </c>
      <c r="F34" s="59" t="n">
        <f aca="false">U22</f>
        <v>70</v>
      </c>
      <c r="G34" s="59" t="n">
        <f aca="false">U23</f>
        <v>85</v>
      </c>
      <c r="H34" s="59" t="n">
        <f aca="false">U24</f>
        <v>70</v>
      </c>
      <c r="I34" s="59" t="n">
        <f aca="false">U25</f>
        <v>65</v>
      </c>
      <c r="J34" s="60" t="n">
        <f aca="false">ROUND(AVERAGE(C34:I34),1)</f>
        <v>73.9</v>
      </c>
      <c r="K34" s="61" t="n">
        <f aca="false">ROUND(J34-ROUND(AVERAGE(J31,J32,J33,J34,J35,J36,J37,J38),1),1)</f>
        <v>-0.4</v>
      </c>
    </row>
    <row r="35" customFormat="false" ht="19.5" hidden="false" customHeight="true" outlineLevel="0" collapsed="false">
      <c r="A35" s="54" t="str">
        <f aca="false">B14</f>
        <v>Sarah Jenkins</v>
      </c>
      <c r="B35" s="17" t="str">
        <f aca="false">C14</f>
        <v>Internal</v>
      </c>
      <c r="C35" s="55" t="n">
        <f aca="false">V19</f>
        <v>70</v>
      </c>
      <c r="D35" s="55" t="n">
        <f aca="false">V20</f>
        <v>80</v>
      </c>
      <c r="E35" s="55" t="n">
        <f aca="false">V21</f>
        <v>68</v>
      </c>
      <c r="F35" s="55" t="n">
        <f aca="false">V22</f>
        <v>72</v>
      </c>
      <c r="G35" s="55" t="n">
        <f aca="false">V23</f>
        <v>70</v>
      </c>
      <c r="H35" s="55" t="n">
        <f aca="false">V24</f>
        <v>72</v>
      </c>
      <c r="I35" s="55" t="n">
        <f aca="false">V25</f>
        <v>75</v>
      </c>
      <c r="J35" s="56" t="n">
        <f aca="false">ROUND(AVERAGE(C35:I35),1)</f>
        <v>72.4</v>
      </c>
      <c r="K35" s="57" t="n">
        <f aca="false">ROUND(J35-ROUND(AVERAGE(J31,J32,J33,J34,J35,J36,J37,J38),1),1)</f>
        <v>-1.9</v>
      </c>
    </row>
    <row r="36" customFormat="false" ht="19.5" hidden="false" customHeight="true" outlineLevel="0" collapsed="false">
      <c r="A36" s="58" t="str">
        <f aca="false">B15</f>
        <v>Julian Vane</v>
      </c>
      <c r="B36" s="24" t="str">
        <f aca="false">C15</f>
        <v>External</v>
      </c>
      <c r="C36" s="59" t="n">
        <f aca="false">W19</f>
        <v>55</v>
      </c>
      <c r="D36" s="59" t="n">
        <f aca="false">W20</f>
        <v>72</v>
      </c>
      <c r="E36" s="59" t="n">
        <f aca="false">W21</f>
        <v>74</v>
      </c>
      <c r="F36" s="59" t="n">
        <f aca="false">W22</f>
        <v>76</v>
      </c>
      <c r="G36" s="59" t="n">
        <f aca="false">W23</f>
        <v>62</v>
      </c>
      <c r="H36" s="59" t="n">
        <f aca="false">W24</f>
        <v>68</v>
      </c>
      <c r="I36" s="59" t="n">
        <f aca="false">W25</f>
        <v>80</v>
      </c>
      <c r="J36" s="60" t="n">
        <f aca="false">ROUND(AVERAGE(C36:I36),1)</f>
        <v>69.6</v>
      </c>
      <c r="K36" s="61" t="n">
        <f aca="false">ROUND(J36-ROUND(AVERAGE(J31,J32,J33,J34,J35,J36,J37,J38),1),1)</f>
        <v>-4.7</v>
      </c>
    </row>
    <row r="37" customFormat="false" ht="19.5" hidden="false" customHeight="true" outlineLevel="0" collapsed="false">
      <c r="A37" s="54" t="str">
        <f aca="false">B16</f>
        <v>Linda Wu</v>
      </c>
      <c r="B37" s="17" t="str">
        <f aca="false">C16</f>
        <v>Internal</v>
      </c>
      <c r="C37" s="55" t="n">
        <f aca="false">X19</f>
        <v>60</v>
      </c>
      <c r="D37" s="55" t="n">
        <f aca="false">X20</f>
        <v>74</v>
      </c>
      <c r="E37" s="55" t="n">
        <f aca="false">X21</f>
        <v>66</v>
      </c>
      <c r="F37" s="55" t="n">
        <f aca="false">X22</f>
        <v>68</v>
      </c>
      <c r="G37" s="55" t="n">
        <f aca="false">X23</f>
        <v>60</v>
      </c>
      <c r="H37" s="55" t="n">
        <f aca="false">X24</f>
        <v>74</v>
      </c>
      <c r="I37" s="55" t="n">
        <f aca="false">X25</f>
        <v>82</v>
      </c>
      <c r="J37" s="56" t="n">
        <f aca="false">ROUND(AVERAGE(C37:I37),1)</f>
        <v>69.1</v>
      </c>
      <c r="K37" s="57" t="n">
        <f aca="false">ROUND(J37-ROUND(AVERAGE(J31,J32,J33,J34,J35,J36,J37,J38),1),1)</f>
        <v>-5.2</v>
      </c>
    </row>
    <row r="38" customFormat="false" ht="19.5" hidden="false" customHeight="true" outlineLevel="0" collapsed="false">
      <c r="A38" s="58" t="str">
        <f aca="false">B17</f>
        <v>Thomas More</v>
      </c>
      <c r="B38" s="24" t="str">
        <f aca="false">C17</f>
        <v>External</v>
      </c>
      <c r="C38" s="59" t="n">
        <f aca="false">Y19</f>
        <v>50</v>
      </c>
      <c r="D38" s="59" t="n">
        <f aca="false">Y20</f>
        <v>68</v>
      </c>
      <c r="E38" s="59" t="n">
        <f aca="false">Y21</f>
        <v>70</v>
      </c>
      <c r="F38" s="59" t="n">
        <f aca="false">Y22</f>
        <v>64</v>
      </c>
      <c r="G38" s="59" t="n">
        <f aca="false">Y23</f>
        <v>58</v>
      </c>
      <c r="H38" s="59" t="n">
        <f aca="false">Y24</f>
        <v>72</v>
      </c>
      <c r="I38" s="59" t="n">
        <f aca="false">Y25</f>
        <v>78</v>
      </c>
      <c r="J38" s="60" t="n">
        <f aca="false">ROUND(AVERAGE(C38:I38),1)</f>
        <v>65.7</v>
      </c>
      <c r="K38" s="61" t="n">
        <f aca="false">ROUND(J38-ROUND(AVERAGE(J31,J32,J33,J34,J35,J36,J37,J38),1),1)</f>
        <v>-8.6</v>
      </c>
    </row>
    <row r="39" customFormat="false" ht="13.5" hidden="false" customHeight="true" outlineLevel="0" collapsed="false">
      <c r="A39" s="62" t="s">
        <v>109</v>
      </c>
      <c r="B39" s="62"/>
      <c r="C39" s="63" t="n">
        <f aca="false">ROUND(AVERAGE(C31:C38),1)</f>
        <v>68.8</v>
      </c>
      <c r="D39" s="63" t="n">
        <f aca="false">ROUND(AVERAGE(D31:D38),1)</f>
        <v>76.9</v>
      </c>
      <c r="E39" s="63" t="n">
        <f aca="false">ROUND(AVERAGE(E31:E38),1)</f>
        <v>75.5</v>
      </c>
      <c r="F39" s="63" t="n">
        <f aca="false">ROUND(AVERAGE(F31:F38),1)</f>
        <v>75.6</v>
      </c>
      <c r="G39" s="63" t="n">
        <f aca="false">ROUND(AVERAGE(G31:G38),1)</f>
        <v>72.1</v>
      </c>
      <c r="H39" s="63" t="n">
        <f aca="false">ROUND(AVERAGE(H31:H38),1)</f>
        <v>74.8</v>
      </c>
      <c r="I39" s="63" t="n">
        <f aca="false">ROUND(AVERAGE(I31:I38),1)</f>
        <v>76.8</v>
      </c>
    </row>
    <row r="40" customFormat="false" ht="19.5" hidden="false" customHeight="true" outlineLevel="0" collapsed="false">
      <c r="A40" s="26" t="s">
        <v>110</v>
      </c>
      <c r="B40" s="64" t="str">
        <f aca="false">INDEX(B10:B17,MATCH(1,D10:D17,0))&amp;" — Score: "&amp;TEXT(MAX(J10:J17),"0.0")</f>
        <v>Anna Keller — Score: 93.3</v>
      </c>
      <c r="C40" s="64"/>
      <c r="D40" s="64"/>
      <c r="E40" s="64"/>
      <c r="F40" s="64"/>
      <c r="G40" s="64"/>
      <c r="H40" s="64"/>
    </row>
    <row r="41" customFormat="false" ht="19.5" hidden="false" customHeight="true" outlineLevel="0" collapsed="false">
      <c r="A41" s="26" t="s">
        <v>111</v>
      </c>
      <c r="B41" s="64" t="str">
        <f aca="false">IF(MAX(J10:J17)&gt;=90,"STRONG FIT",IF(MAX(J10:J17)&gt;=80,"GOOD FIT","MODERATE FIT"))</f>
        <v>STRONG FIT</v>
      </c>
      <c r="C41" s="64"/>
      <c r="D41" s="64"/>
      <c r="E41" s="64"/>
      <c r="F41" s="64"/>
      <c r="G41" s="64"/>
      <c r="H41" s="64"/>
    </row>
    <row r="42" customFormat="false" ht="19.5" hidden="false" customHeight="true" outlineLevel="0" collapsed="false">
      <c r="A42" s="26" t="s">
        <v>112</v>
      </c>
      <c r="B42" s="64" t="str">
        <f aca="false">IF(MAX(J10:J17)&gt;=90,"HIGH",IF(MAX(J10:J17)&gt;=80,"MEDIUM","LOW"))</f>
        <v>HIGH</v>
      </c>
      <c r="C42" s="64"/>
      <c r="D42" s="64"/>
      <c r="E42" s="64"/>
      <c r="F42" s="64"/>
      <c r="G42" s="64"/>
      <c r="H42" s="64"/>
    </row>
    <row r="43" customFormat="false" ht="19.5" hidden="false" customHeight="true" outlineLevel="0" collapsed="false">
      <c r="A43" s="26" t="s">
        <v>113</v>
      </c>
      <c r="B43" s="64" t="str">
        <f aca="false">IF(AVERAGEIF(C10:C17,"Internal",J10:J17)&gt;AVERAGEIF(C10:C17,"External",J10:J17),"Internal pool outperforms","External pool outperforms")&amp;" (Δ "&amp;TEXT(ROUND(ABS(AVERAGEIF(C10:C17,"Internal",J10:J17)-AVERAGEIF(C10:C17,"External",J10:J17)),1),"0.0")&amp;" pts)"</f>
        <v>Internal pool outperforms (Δ 3.8 pts)</v>
      </c>
      <c r="C43" s="64"/>
      <c r="D43" s="64"/>
      <c r="E43" s="64"/>
      <c r="F43" s="64"/>
      <c r="G43" s="64"/>
      <c r="H43" s="64"/>
    </row>
    <row r="44" customFormat="false" ht="19.5" hidden="false" customHeight="true" outlineLevel="0" collapsed="false">
      <c r="A44" s="26" t="s">
        <v>114</v>
      </c>
      <c r="B44" s="64" t="str">
        <f aca="false">IF(COUNTIF(N10:N17,"⚠ NEAR_TIE")&gt;0,"⚠ "&amp;COUNTIF(N10:N17,"⚠ NEAR_TIE")&amp;" near-tie pair(s) detected — review criterion scores before final decision","✓ No ties detected")</f>
        <v>✓ No ties detected</v>
      </c>
      <c r="C44" s="64"/>
      <c r="D44" s="64"/>
      <c r="E44" s="64"/>
      <c r="F44" s="64"/>
      <c r="G44" s="64"/>
      <c r="H44" s="64"/>
    </row>
  </sheetData>
  <mergeCells count="18">
    <mergeCell ref="A2:O2"/>
    <mergeCell ref="A3:O3"/>
    <mergeCell ref="B7:H7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A39:B39"/>
    <mergeCell ref="B40:H40"/>
    <mergeCell ref="B41:H41"/>
    <mergeCell ref="B42:H42"/>
    <mergeCell ref="B43:H43"/>
    <mergeCell ref="B44:H44"/>
  </mergeCells>
  <conditionalFormatting sqref="E10:E17">
    <cfRule type="colorScale" priority="2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F10:F17">
    <cfRule type="colorScale" priority="3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G10:G17">
    <cfRule type="colorScale" priority="4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H10:H17">
    <cfRule type="colorScale" priority="5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I10:I17">
    <cfRule type="colorScale" priority="6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J10:J17">
    <cfRule type="dataBar" priority="7">
      <dataBar showValue="1" minLength="10" maxLength="90">
        <cfvo type="num" val="60"/>
        <cfvo type="num" val="100"/>
        <color rgb="FF0066CC"/>
      </dataBar>
      <extLst>
        <ext xmlns:x14="http://schemas.microsoft.com/office/spreadsheetml/2009/9/main" uri="{B025F937-C7B1-47D3-B67F-A62EFF666E3E}">
          <x14:id>{78F080AD-C040-4CB4-A236-E1C938BC6F50}</x14:id>
        </ext>
      </extLst>
    </cfRule>
  </conditionalFormatting>
  <conditionalFormatting sqref="C31:C38">
    <cfRule type="colorScale" priority="8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D31:D38">
    <cfRule type="colorScale" priority="9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E31:E38">
    <cfRule type="colorScale" priority="10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F31:F38">
    <cfRule type="colorScale" priority="11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G31:G38">
    <cfRule type="colorScale" priority="12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H31:H38">
    <cfRule type="colorScale" priority="13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I31:I38">
    <cfRule type="colorScale" priority="14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F080AD-C040-4CB4-A236-E1C938BC6F50}">
            <x14:dataBar minLength="10" maxLength="90" axisPosition="none" gradient="true">
              <x14:cfvo type="num">
                <xm:f>60</xm:f>
              </x14:cfvo>
              <x14:cfvo type="num">
                <xm:f>100</xm:f>
              </x14:cfvo>
              <x14:negativeFillColor rgb="FF0066CC"/>
              <x14:axisColor rgb="FF000000"/>
            </x14:dataBar>
          </x14:cfRule>
          <xm:sqref>J10:J17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9" min="3" style="0" width="14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4" min="13" style="0" width="18"/>
    <col collapsed="false" customWidth="true" hidden="false" outlineLevel="0" max="15" min="15" style="0" width="16"/>
  </cols>
  <sheetData>
    <row r="1" customFormat="false" ht="6" hidden="false" customHeight="true" outlineLevel="0" collapsed="false"/>
    <row r="2" customFormat="false" ht="36" hidden="false" customHeight="true" outlineLevel="0" collapsed="false">
      <c r="A2" s="30" t="s">
        <v>115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customFormat="false" ht="18" hidden="false" customHeight="tru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3.5" hidden="false" customHeight="true" outlineLevel="0" collapsed="false">
      <c r="A5" s="10" t="s">
        <v>52</v>
      </c>
      <c r="B5" s="31" t="s">
        <v>53</v>
      </c>
      <c r="C5" s="31" t="s">
        <v>54</v>
      </c>
      <c r="D5" s="31" t="s">
        <v>55</v>
      </c>
      <c r="E5" s="31" t="s">
        <v>56</v>
      </c>
      <c r="F5" s="31" t="s">
        <v>57</v>
      </c>
      <c r="H5" s="31" t="s">
        <v>58</v>
      </c>
    </row>
    <row r="6" customFormat="false" ht="24" hidden="false" customHeight="true" outlineLevel="0" collapsed="false">
      <c r="B6" s="32" t="n">
        <v>0.3</v>
      </c>
      <c r="C6" s="32" t="n">
        <v>0.2</v>
      </c>
      <c r="D6" s="32" t="n">
        <v>0.15</v>
      </c>
      <c r="E6" s="32" t="n">
        <v>0.2</v>
      </c>
      <c r="F6" s="32" t="n">
        <v>0.15</v>
      </c>
      <c r="H6" s="33" t="n">
        <f aca="false">SUM(B6,C6,D6,E6,F6)</f>
        <v>1</v>
      </c>
    </row>
    <row r="7" customFormat="false" ht="13.5" hidden="false" customHeight="true" outlineLevel="0" collapsed="false">
      <c r="B7" s="34" t="str">
        <f aca="false">IF(H6=1,"✓ Weights valid — sum = 1.00","⚠ Weights do not sum to 1.00 — adjust before running")</f>
        <v>✓ Weights valid — sum = 1.00</v>
      </c>
      <c r="C7" s="34"/>
      <c r="D7" s="34"/>
      <c r="E7" s="34"/>
      <c r="F7" s="34"/>
      <c r="G7" s="34"/>
      <c r="H7" s="34"/>
    </row>
    <row r="8" customFormat="false" ht="6" hidden="false" customHeight="true" outlineLevel="0" collapsed="false"/>
    <row r="9" customFormat="false" ht="31.5" hidden="false" customHeight="true" outlineLevel="0" collapsed="false">
      <c r="A9" s="35" t="s">
        <v>59</v>
      </c>
      <c r="B9" s="35" t="s">
        <v>60</v>
      </c>
      <c r="C9" s="35" t="s">
        <v>61</v>
      </c>
      <c r="D9" s="35" t="s">
        <v>62</v>
      </c>
      <c r="E9" s="35" t="s">
        <v>63</v>
      </c>
      <c r="F9" s="35" t="s">
        <v>64</v>
      </c>
      <c r="G9" s="35" t="s">
        <v>65</v>
      </c>
      <c r="H9" s="35" t="s">
        <v>66</v>
      </c>
      <c r="I9" s="35" t="s">
        <v>57</v>
      </c>
      <c r="J9" s="35" t="s">
        <v>67</v>
      </c>
      <c r="K9" s="35" t="s">
        <v>68</v>
      </c>
      <c r="L9" s="35" t="s">
        <v>69</v>
      </c>
      <c r="M9" s="35" t="s">
        <v>70</v>
      </c>
      <c r="N9" s="35" t="s">
        <v>71</v>
      </c>
      <c r="O9" s="35" t="s">
        <v>32</v>
      </c>
    </row>
    <row r="10" customFormat="false" ht="19.5" hidden="false" customHeight="true" outlineLevel="0" collapsed="false">
      <c r="A10" s="36" t="n">
        <v>1</v>
      </c>
      <c r="B10" s="37" t="s">
        <v>72</v>
      </c>
      <c r="C10" s="38" t="s">
        <v>73</v>
      </c>
      <c r="D10" s="39" t="n">
        <f aca="false">RANK(J10,$J$10:$J$17,0)</f>
        <v>2</v>
      </c>
      <c r="E10" s="40" t="n">
        <v>88</v>
      </c>
      <c r="F10" s="40" t="n">
        <v>82</v>
      </c>
      <c r="G10" s="40" t="n">
        <v>80</v>
      </c>
      <c r="H10" s="40" t="n">
        <v>92</v>
      </c>
      <c r="I10" s="40" t="n">
        <v>90</v>
      </c>
      <c r="J10" s="41" t="n">
        <f aca="false">ROUND(E10*B6+F10*C6+G10*D6+H10*E6+I10*F6,1)</f>
        <v>86.7</v>
      </c>
      <c r="K10" s="42" t="str">
        <f aca="false">IF(J10&gt;=90,"STRONG FIT",IF(J10&gt;=80,"GOOD FIT",IF(J10&gt;=70,"MODERATE FIT","BELOW THRESHOLD")))</f>
        <v>GOOD FIT</v>
      </c>
      <c r="L10" s="43" t="n">
        <f aca="false">ROUND(J10-AVERAGE($J$10:$J$17),1)</f>
        <v>10.2</v>
      </c>
      <c r="M10" s="44" t="s">
        <v>117</v>
      </c>
      <c r="N10" s="24" t="str">
        <f aca="false">IF(AND(D10&lt;=2,ABS(J10-IF(D10=1,LARGE($J$10:$J$17,2),LARGE($J$10:$J$17,1)))&lt;=2),"⚠ NEAR_TIE",IF(COUNTIF(E10:I10,"")&gt;2,"INSUFFICIENT_DATA","CLEAR"))</f>
        <v>CLEAR</v>
      </c>
      <c r="O10" s="42" t="str">
        <f aca="false">IF(J10&gt;=88,"SHORTLIST",IF(J10&gt;=80,"REVIEW",IF(J10&gt;=70,"HOLD","REJECT")))</f>
        <v>REVIEW</v>
      </c>
    </row>
    <row r="11" customFormat="false" ht="19.5" hidden="false" customHeight="true" outlineLevel="0" collapsed="false">
      <c r="A11" s="45" t="n">
        <v>2</v>
      </c>
      <c r="B11" s="37" t="s">
        <v>75</v>
      </c>
      <c r="C11" s="38" t="s">
        <v>76</v>
      </c>
      <c r="D11" s="46" t="n">
        <f aca="false">RANK(J11,$J$10:$J$17,0)</f>
        <v>1</v>
      </c>
      <c r="E11" s="40" t="n">
        <v>92</v>
      </c>
      <c r="F11" s="40" t="n">
        <v>88</v>
      </c>
      <c r="G11" s="40" t="n">
        <v>85</v>
      </c>
      <c r="H11" s="40" t="n">
        <v>90</v>
      </c>
      <c r="I11" s="40" t="n">
        <v>88</v>
      </c>
      <c r="J11" s="47" t="n">
        <f aca="false">ROUND(E11*B6+F11*C6+G11*D6+H11*E6+I11*F6,1)</f>
        <v>89.2</v>
      </c>
      <c r="K11" s="48" t="str">
        <f aca="false">IF(J11&gt;=90,"STRONG FIT",IF(J11&gt;=80,"GOOD FIT",IF(J11&gt;=70,"MODERATE FIT","BELOW THRESHOLD")))</f>
        <v>GOOD FIT</v>
      </c>
      <c r="L11" s="49" t="n">
        <f aca="false">ROUND(J11-AVERAGE($J$10:$J$17),1)</f>
        <v>12.7</v>
      </c>
      <c r="M11" s="44" t="s">
        <v>118</v>
      </c>
      <c r="N11" s="17" t="str">
        <f aca="false">IF(AND(D11&lt;=2,ABS(J11-IF(D11=1,LARGE($J$10:$J$17,2),LARGE($J$10:$J$17,1)))&lt;=2),"⚠ NEAR_TIE",IF(COUNTIF(E11:I11,"")&gt;2,"INSUFFICIENT_DATA","CLEAR"))</f>
        <v>CLEAR</v>
      </c>
      <c r="O11" s="48" t="str">
        <f aca="false">IF(J11&gt;=88,"SHORTLIST",IF(J11&gt;=80,"REVIEW",IF(J11&gt;=70,"HOLD","REJECT")))</f>
        <v>SHORTLIST</v>
      </c>
    </row>
    <row r="12" customFormat="false" ht="19.5" hidden="false" customHeight="true" outlineLevel="0" collapsed="false">
      <c r="A12" s="36" t="n">
        <v>3</v>
      </c>
      <c r="B12" s="37" t="s">
        <v>78</v>
      </c>
      <c r="C12" s="38" t="s">
        <v>73</v>
      </c>
      <c r="D12" s="39" t="n">
        <f aca="false">RANK(J12,$J$10:$J$17,0)</f>
        <v>3</v>
      </c>
      <c r="E12" s="40" t="n">
        <v>85</v>
      </c>
      <c r="F12" s="40" t="n">
        <v>80</v>
      </c>
      <c r="G12" s="40" t="n">
        <v>82</v>
      </c>
      <c r="H12" s="40" t="n">
        <v>88</v>
      </c>
      <c r="I12" s="40" t="n">
        <v>86</v>
      </c>
      <c r="J12" s="41" t="n">
        <f aca="false">ROUND(E12*B6+F12*C6+G12*D6+H12*E6+I12*F6,1)</f>
        <v>84.3</v>
      </c>
      <c r="K12" s="42" t="str">
        <f aca="false">IF(J12&gt;=90,"STRONG FIT",IF(J12&gt;=80,"GOOD FIT",IF(J12&gt;=70,"MODERATE FIT","BELOW THRESHOLD")))</f>
        <v>GOOD FIT</v>
      </c>
      <c r="L12" s="43" t="n">
        <f aca="false">ROUND(J12-AVERAGE($J$10:$J$17),1)</f>
        <v>7.8</v>
      </c>
      <c r="M12" s="44" t="s">
        <v>119</v>
      </c>
      <c r="N12" s="24" t="str">
        <f aca="false">IF(AND(D12&lt;=2,ABS(J12-IF(D12=1,LARGE($J$10:$J$17,2),LARGE($J$10:$J$17,1)))&lt;=2),"⚠ NEAR_TIE",IF(COUNTIF(E12:I12,"")&gt;2,"INSUFFICIENT_DATA","CLEAR"))</f>
        <v>CLEAR</v>
      </c>
      <c r="O12" s="42" t="str">
        <f aca="false">IF(J12&gt;=88,"SHORTLIST",IF(J12&gt;=80,"REVIEW",IF(J12&gt;=70,"HOLD","REJECT")))</f>
        <v>REVIEW</v>
      </c>
    </row>
    <row r="13" customFormat="false" ht="19.5" hidden="false" customHeight="true" outlineLevel="0" collapsed="false">
      <c r="A13" s="45" t="n">
        <v>4</v>
      </c>
      <c r="B13" s="37" t="s">
        <v>80</v>
      </c>
      <c r="C13" s="38" t="s">
        <v>76</v>
      </c>
      <c r="D13" s="46" t="n">
        <f aca="false">RANK(J13,$J$10:$J$17,0)</f>
        <v>4</v>
      </c>
      <c r="E13" s="40" t="n">
        <v>80</v>
      </c>
      <c r="F13" s="40" t="n">
        <v>78</v>
      </c>
      <c r="G13" s="40" t="n">
        <v>75</v>
      </c>
      <c r="H13" s="40" t="n">
        <v>80</v>
      </c>
      <c r="I13" s="40" t="n">
        <v>78</v>
      </c>
      <c r="J13" s="47" t="n">
        <f aca="false">ROUND(E13*B6+F13*C6+G13*D6+H13*E6+I13*F6,1)</f>
        <v>78.6</v>
      </c>
      <c r="K13" s="48" t="str">
        <f aca="false">IF(J13&gt;=90,"STRONG FIT",IF(J13&gt;=80,"GOOD FIT",IF(J13&gt;=70,"MODERATE FIT","BELOW THRESHOLD")))</f>
        <v>MODERATE FIT</v>
      </c>
      <c r="L13" s="49" t="n">
        <f aca="false">ROUND(J13-AVERAGE($J$10:$J$17),1)</f>
        <v>2.1</v>
      </c>
      <c r="M13" s="44" t="s">
        <v>120</v>
      </c>
      <c r="N13" s="17" t="str">
        <f aca="false">IF(AND(D13&lt;=2,ABS(J13-IF(D13=1,LARGE($J$10:$J$17,2),LARGE($J$10:$J$17,1)))&lt;=2),"⚠ NEAR_TIE",IF(COUNTIF(E13:I13,"")&gt;2,"INSUFFICIENT_DATA","CLEAR"))</f>
        <v>CLEAR</v>
      </c>
      <c r="O13" s="48" t="str">
        <f aca="false">IF(J13&gt;=88,"SHORTLIST",IF(J13&gt;=80,"REVIEW",IF(J13&gt;=70,"HOLD","REJECT")))</f>
        <v>HOLD</v>
      </c>
    </row>
    <row r="14" customFormat="false" ht="19.5" hidden="false" customHeight="true" outlineLevel="0" collapsed="false">
      <c r="A14" s="36" t="n">
        <v>5</v>
      </c>
      <c r="B14" s="37" t="s">
        <v>82</v>
      </c>
      <c r="C14" s="38" t="s">
        <v>73</v>
      </c>
      <c r="D14" s="39" t="n">
        <f aca="false">RANK(J14,$J$10:$J$17,0)</f>
        <v>5</v>
      </c>
      <c r="E14" s="40" t="n">
        <v>75</v>
      </c>
      <c r="F14" s="40" t="n">
        <v>76</v>
      </c>
      <c r="G14" s="40" t="n">
        <v>72</v>
      </c>
      <c r="H14" s="40" t="n">
        <v>78</v>
      </c>
      <c r="I14" s="40" t="n">
        <v>74</v>
      </c>
      <c r="J14" s="41" t="n">
        <f aca="false">ROUND(E14*B6+F14*C6+G14*D6+H14*E6+I14*F6,1)</f>
        <v>75.2</v>
      </c>
      <c r="K14" s="42" t="str">
        <f aca="false">IF(J14&gt;=90,"STRONG FIT",IF(J14&gt;=80,"GOOD FIT",IF(J14&gt;=70,"MODERATE FIT","BELOW THRESHOLD")))</f>
        <v>MODERATE FIT</v>
      </c>
      <c r="L14" s="43" t="n">
        <f aca="false">ROUND(J14-AVERAGE($J$10:$J$17),1)</f>
        <v>-1.3</v>
      </c>
      <c r="M14" s="44" t="s">
        <v>121</v>
      </c>
      <c r="N14" s="24" t="str">
        <f aca="false">IF(AND(D14&lt;=2,ABS(J14-IF(D14=1,LARGE($J$10:$J$17,2),LARGE($J$10:$J$17,1)))&lt;=2),"⚠ NEAR_TIE",IF(COUNTIF(E14:I14,"")&gt;2,"INSUFFICIENT_DATA","CLEAR"))</f>
        <v>CLEAR</v>
      </c>
      <c r="O14" s="42" t="str">
        <f aca="false">IF(J14&gt;=88,"SHORTLIST",IF(J14&gt;=80,"REVIEW",IF(J14&gt;=70,"HOLD","REJECT")))</f>
        <v>HOLD</v>
      </c>
    </row>
    <row r="15" customFormat="false" ht="19.5" hidden="false" customHeight="true" outlineLevel="0" collapsed="false">
      <c r="A15" s="45" t="n">
        <v>6</v>
      </c>
      <c r="B15" s="37" t="s">
        <v>84</v>
      </c>
      <c r="C15" s="38" t="s">
        <v>76</v>
      </c>
      <c r="D15" s="46" t="n">
        <f aca="false">RANK(J15,$J$10:$J$17,0)</f>
        <v>6</v>
      </c>
      <c r="E15" s="40" t="n">
        <v>70</v>
      </c>
      <c r="F15" s="40" t="n">
        <v>72</v>
      </c>
      <c r="G15" s="40" t="n">
        <v>70</v>
      </c>
      <c r="H15" s="40" t="n">
        <v>72</v>
      </c>
      <c r="I15" s="40" t="n">
        <v>70</v>
      </c>
      <c r="J15" s="47" t="n">
        <f aca="false">ROUND(E15*B6+F15*C6+G15*D6+H15*E6+I15*F6,1)</f>
        <v>70.8</v>
      </c>
      <c r="K15" s="48" t="str">
        <f aca="false">IF(J15&gt;=90,"STRONG FIT",IF(J15&gt;=80,"GOOD FIT",IF(J15&gt;=70,"MODERATE FIT","BELOW THRESHOLD")))</f>
        <v>MODERATE FIT</v>
      </c>
      <c r="L15" s="49" t="n">
        <f aca="false">ROUND(J15-AVERAGE($J$10:$J$17),1)</f>
        <v>-5.7</v>
      </c>
      <c r="M15" s="44" t="s">
        <v>122</v>
      </c>
      <c r="N15" s="17" t="str">
        <f aca="false">IF(AND(D15&lt;=2,ABS(J15-IF(D15=1,LARGE($J$10:$J$17,2),LARGE($J$10:$J$17,1)))&lt;=2),"⚠ NEAR_TIE",IF(COUNTIF(E15:I15,"")&gt;2,"INSUFFICIENT_DATA","CLEAR"))</f>
        <v>CLEAR</v>
      </c>
      <c r="O15" s="48" t="str">
        <f aca="false">IF(J15&gt;=88,"SHORTLIST",IF(J15&gt;=80,"REVIEW",IF(J15&gt;=70,"HOLD","REJECT")))</f>
        <v>HOLD</v>
      </c>
    </row>
    <row r="16" customFormat="false" ht="19.5" hidden="false" customHeight="true" outlineLevel="0" collapsed="false">
      <c r="A16" s="36" t="n">
        <v>7</v>
      </c>
      <c r="B16" s="37" t="s">
        <v>86</v>
      </c>
      <c r="C16" s="38" t="s">
        <v>73</v>
      </c>
      <c r="D16" s="39" t="n">
        <f aca="false">RANK(J16,$J$10:$J$17,0)</f>
        <v>7</v>
      </c>
      <c r="E16" s="40" t="n">
        <v>65</v>
      </c>
      <c r="F16" s="40" t="n">
        <v>68</v>
      </c>
      <c r="G16" s="40" t="n">
        <v>66</v>
      </c>
      <c r="H16" s="40" t="n">
        <v>68</v>
      </c>
      <c r="I16" s="40" t="n">
        <v>65</v>
      </c>
      <c r="J16" s="41" t="n">
        <f aca="false">ROUND(E16*B6+F16*C6+G16*D6+H16*E6+I16*F6,1)</f>
        <v>66.4</v>
      </c>
      <c r="K16" s="42" t="str">
        <f aca="false">IF(J16&gt;=90,"STRONG FIT",IF(J16&gt;=80,"GOOD FIT",IF(J16&gt;=70,"MODERATE FIT","BELOW THRESHOLD")))</f>
        <v>BELOW THRESHOLD</v>
      </c>
      <c r="L16" s="43" t="n">
        <f aca="false">ROUND(J16-AVERAGE($J$10:$J$17),1)</f>
        <v>-10.1</v>
      </c>
      <c r="M16" s="44" t="s">
        <v>123</v>
      </c>
      <c r="N16" s="24" t="str">
        <f aca="false">IF(AND(D16&lt;=2,ABS(J16-IF(D16=1,LARGE($J$10:$J$17,2),LARGE($J$10:$J$17,1)))&lt;=2),"⚠ NEAR_TIE",IF(COUNTIF(E16:I16,"")&gt;2,"INSUFFICIENT_DATA","CLEAR"))</f>
        <v>CLEAR</v>
      </c>
      <c r="O16" s="42" t="str">
        <f aca="false">IF(J16&gt;=88,"SHORTLIST",IF(J16&gt;=80,"REVIEW",IF(J16&gt;=70,"HOLD","REJECT")))</f>
        <v>REJECT</v>
      </c>
    </row>
    <row r="17" customFormat="false" ht="19.5" hidden="false" customHeight="true" outlineLevel="0" collapsed="false">
      <c r="A17" s="45" t="n">
        <v>8</v>
      </c>
      <c r="B17" s="37" t="s">
        <v>88</v>
      </c>
      <c r="C17" s="38" t="s">
        <v>76</v>
      </c>
      <c r="D17" s="46" t="n">
        <f aca="false">RANK(J17,$J$10:$J$17,0)</f>
        <v>8</v>
      </c>
      <c r="E17" s="40" t="n">
        <v>60</v>
      </c>
      <c r="F17" s="40" t="n">
        <v>62</v>
      </c>
      <c r="G17" s="40" t="n">
        <v>60</v>
      </c>
      <c r="H17" s="40" t="n">
        <v>62</v>
      </c>
      <c r="I17" s="40" t="n">
        <v>58</v>
      </c>
      <c r="J17" s="47" t="n">
        <f aca="false">ROUND(E17*B6+F17*C6+G17*D6+H17*E6+I17*F6,1)</f>
        <v>60.5</v>
      </c>
      <c r="K17" s="48" t="str">
        <f aca="false">IF(J17&gt;=90,"STRONG FIT",IF(J17&gt;=80,"GOOD FIT",IF(J17&gt;=70,"MODERATE FIT","BELOW THRESHOLD")))</f>
        <v>BELOW THRESHOLD</v>
      </c>
      <c r="L17" s="49" t="n">
        <f aca="false">ROUND(J17-AVERAGE($J$10:$J$17),1)</f>
        <v>-16</v>
      </c>
      <c r="M17" s="44" t="s">
        <v>124</v>
      </c>
      <c r="N17" s="17" t="str">
        <f aca="false">IF(AND(D17&lt;=2,ABS(J17-IF(D17=1,LARGE($J$10:$J$17,2),LARGE($J$10:$J$17,1)))&lt;=2),"⚠ NEAR_TIE",IF(COUNTIF(E17:I17,"")&gt;2,"INSUFFICIENT_DATA","CLEAR"))</f>
        <v>CLEAR</v>
      </c>
      <c r="O17" s="48" t="str">
        <f aca="false">IF(J17&gt;=88,"SHORTLIST",IF(J17&gt;=80,"REVIEW",IF(J17&gt;=70,"HOLD","REJECT")))</f>
        <v>REJECT</v>
      </c>
    </row>
    <row r="19" customFormat="false" ht="13.5" hidden="false" customHeight="true" outlineLevel="0" collapsed="false">
      <c r="A19" s="10" t="s">
        <v>90</v>
      </c>
      <c r="R19" s="50" t="n">
        <v>75</v>
      </c>
      <c r="S19" s="50" t="n">
        <v>80</v>
      </c>
      <c r="T19" s="50" t="n">
        <v>70</v>
      </c>
      <c r="U19" s="50" t="n">
        <v>72</v>
      </c>
      <c r="V19" s="50" t="n">
        <v>68</v>
      </c>
      <c r="W19" s="50" t="n">
        <v>60</v>
      </c>
      <c r="X19" s="50" t="n">
        <v>55</v>
      </c>
      <c r="Y19" s="50" t="n">
        <v>50</v>
      </c>
    </row>
    <row r="20" customFormat="false" ht="18" hidden="false" customHeight="true" outlineLevel="0" collapsed="false">
      <c r="A20" s="51" t="s">
        <v>91</v>
      </c>
      <c r="B20" s="52" t="n">
        <f aca="false">ROUND(AVERAGE(J10:J17),1)</f>
        <v>76.5</v>
      </c>
      <c r="C20" s="52"/>
      <c r="D20" s="52"/>
      <c r="R20" s="50" t="n">
        <v>72</v>
      </c>
      <c r="S20" s="50" t="n">
        <v>76</v>
      </c>
      <c r="T20" s="50" t="n">
        <v>70</v>
      </c>
      <c r="U20" s="50" t="n">
        <v>68</v>
      </c>
      <c r="V20" s="50" t="n">
        <v>70</v>
      </c>
      <c r="W20" s="50" t="n">
        <v>65</v>
      </c>
      <c r="X20" s="50" t="n">
        <v>62</v>
      </c>
      <c r="Y20" s="50" t="n">
        <v>58</v>
      </c>
    </row>
    <row r="21" customFormat="false" ht="18" hidden="false" customHeight="true" outlineLevel="0" collapsed="false">
      <c r="A21" s="51" t="s">
        <v>92</v>
      </c>
      <c r="B21" s="52" t="n">
        <f aca="false">MAX(J10:J17)</f>
        <v>89.2</v>
      </c>
      <c r="C21" s="52"/>
      <c r="D21" s="52"/>
      <c r="R21" s="50" t="n">
        <v>90</v>
      </c>
      <c r="S21" s="50" t="n">
        <v>92</v>
      </c>
      <c r="T21" s="50" t="n">
        <v>95</v>
      </c>
      <c r="U21" s="50" t="n">
        <v>80</v>
      </c>
      <c r="V21" s="50" t="n">
        <v>75</v>
      </c>
      <c r="W21" s="50" t="n">
        <v>70</v>
      </c>
      <c r="X21" s="50" t="n">
        <v>68</v>
      </c>
      <c r="Y21" s="50" t="n">
        <v>62</v>
      </c>
    </row>
    <row r="22" customFormat="false" ht="18" hidden="false" customHeight="true" outlineLevel="0" collapsed="false">
      <c r="A22" s="51" t="s">
        <v>93</v>
      </c>
      <c r="B22" s="52" t="n">
        <f aca="false">MIN(J10:J17)</f>
        <v>60.5</v>
      </c>
      <c r="C22" s="52"/>
      <c r="D22" s="52"/>
      <c r="R22" s="50" t="n">
        <v>92</v>
      </c>
      <c r="S22" s="50" t="n">
        <v>95</v>
      </c>
      <c r="T22" s="50" t="n">
        <v>88</v>
      </c>
      <c r="U22" s="50" t="n">
        <v>80</v>
      </c>
      <c r="V22" s="50" t="n">
        <v>78</v>
      </c>
      <c r="W22" s="50" t="n">
        <v>72</v>
      </c>
      <c r="X22" s="50" t="n">
        <v>66</v>
      </c>
      <c r="Y22" s="50" t="n">
        <v>60</v>
      </c>
    </row>
    <row r="23" customFormat="false" ht="18" hidden="false" customHeight="true" outlineLevel="0" collapsed="false">
      <c r="A23" s="51" t="s">
        <v>94</v>
      </c>
      <c r="B23" s="52" t="n">
        <f aca="false">ROUND(AVERAGEIF(C10:C17,"Internal",J10:J17),1)</f>
        <v>78.2</v>
      </c>
      <c r="C23" s="52"/>
      <c r="D23" s="52"/>
      <c r="R23" s="50" t="n">
        <v>85</v>
      </c>
      <c r="S23" s="50" t="n">
        <v>88</v>
      </c>
      <c r="T23" s="50" t="n">
        <v>80</v>
      </c>
      <c r="U23" s="50" t="n">
        <v>75</v>
      </c>
      <c r="V23" s="50" t="n">
        <v>72</v>
      </c>
      <c r="W23" s="50" t="n">
        <v>68</v>
      </c>
      <c r="X23" s="50" t="n">
        <v>62</v>
      </c>
      <c r="Y23" s="50" t="n">
        <v>58</v>
      </c>
    </row>
    <row r="24" customFormat="false" ht="18" hidden="false" customHeight="true" outlineLevel="0" collapsed="false">
      <c r="A24" s="51" t="s">
        <v>95</v>
      </c>
      <c r="B24" s="52" t="n">
        <f aca="false">ROUND(AVERAGEIF(C10:C17,"External",J10:J17),1)</f>
        <v>74.8</v>
      </c>
      <c r="C24" s="52"/>
      <c r="D24" s="52"/>
      <c r="R24" s="50" t="n">
        <v>82</v>
      </c>
      <c r="S24" s="50" t="n">
        <v>88</v>
      </c>
      <c r="T24" s="50" t="n">
        <v>85</v>
      </c>
      <c r="U24" s="50" t="n">
        <v>78</v>
      </c>
      <c r="V24" s="50" t="n">
        <v>74</v>
      </c>
      <c r="W24" s="50" t="n">
        <v>70</v>
      </c>
      <c r="X24" s="50" t="n">
        <v>65</v>
      </c>
      <c r="Y24" s="50" t="n">
        <v>60</v>
      </c>
    </row>
    <row r="25" customFormat="false" ht="18" hidden="false" customHeight="true" outlineLevel="0" collapsed="false">
      <c r="A25" s="51" t="s">
        <v>96</v>
      </c>
      <c r="B25" s="53" t="n">
        <f aca="false">COUNTIF(O10:O17,"SHORTLIST")</f>
        <v>1</v>
      </c>
      <c r="C25" s="53"/>
      <c r="D25" s="53"/>
      <c r="R25" s="50" t="n">
        <v>70</v>
      </c>
      <c r="S25" s="50" t="n">
        <v>72</v>
      </c>
      <c r="T25" s="50" t="n">
        <v>68</v>
      </c>
      <c r="U25" s="50" t="n">
        <v>65</v>
      </c>
      <c r="V25" s="50" t="n">
        <v>62</v>
      </c>
      <c r="W25" s="50" t="n">
        <v>60</v>
      </c>
      <c r="X25" s="50" t="n">
        <v>58</v>
      </c>
      <c r="Y25" s="50" t="n">
        <v>55</v>
      </c>
    </row>
    <row r="26" customFormat="false" ht="18" hidden="false" customHeight="true" outlineLevel="0" collapsed="false">
      <c r="A26" s="51" t="s">
        <v>97</v>
      </c>
      <c r="B26" s="53" t="n">
        <f aca="false">COUNTIF(N10:N17,"⚠ NEAR_TIE")</f>
        <v>0</v>
      </c>
      <c r="C26" s="53"/>
      <c r="D26" s="53"/>
    </row>
    <row r="27" customFormat="false" ht="18" hidden="false" customHeight="true" outlineLevel="0" collapsed="false">
      <c r="A27" s="51" t="s">
        <v>30</v>
      </c>
      <c r="B27" s="53" t="str">
        <f aca="false">INDEX(B10:B17,MATCH(1,D10:D17,0))</f>
        <v>Marcus Thorne</v>
      </c>
      <c r="C27" s="53"/>
      <c r="D27" s="53"/>
    </row>
    <row r="28" customFormat="false" ht="18" hidden="false" customHeight="true" outlineLevel="0" collapsed="false">
      <c r="A28" s="51" t="s">
        <v>98</v>
      </c>
      <c r="B28" s="52" t="n">
        <f aca="false">MAX(J10:J17)</f>
        <v>89.2</v>
      </c>
      <c r="C28" s="52"/>
      <c r="D28" s="52"/>
    </row>
    <row r="29" customFormat="false" ht="13.5" hidden="false" customHeight="true" outlineLevel="0" collapsed="false">
      <c r="A29" s="10" t="s">
        <v>99</v>
      </c>
    </row>
    <row r="30" customFormat="false" ht="30" hidden="false" customHeight="true" outlineLevel="0" collapsed="false">
      <c r="A30" s="35" t="s">
        <v>13</v>
      </c>
      <c r="B30" s="35" t="s">
        <v>14</v>
      </c>
      <c r="C30" s="11" t="s">
        <v>100</v>
      </c>
      <c r="D30" s="11" t="s">
        <v>101</v>
      </c>
      <c r="E30" s="11" t="s">
        <v>102</v>
      </c>
      <c r="F30" s="11" t="s">
        <v>103</v>
      </c>
      <c r="G30" s="11" t="s">
        <v>104</v>
      </c>
      <c r="H30" s="11" t="s">
        <v>105</v>
      </c>
      <c r="I30" s="11" t="s">
        <v>106</v>
      </c>
      <c r="J30" s="35" t="s">
        <v>107</v>
      </c>
      <c r="K30" s="35" t="s">
        <v>108</v>
      </c>
    </row>
    <row r="31" customFormat="false" ht="19.5" hidden="false" customHeight="true" outlineLevel="0" collapsed="false">
      <c r="A31" s="54" t="str">
        <f aca="false">B10</f>
        <v>Anna Keller</v>
      </c>
      <c r="B31" s="17" t="str">
        <f aca="false">C10</f>
        <v>Internal</v>
      </c>
      <c r="C31" s="55" t="n">
        <f aca="false">R19</f>
        <v>75</v>
      </c>
      <c r="D31" s="55" t="n">
        <f aca="false">R20</f>
        <v>72</v>
      </c>
      <c r="E31" s="55" t="n">
        <f aca="false">R21</f>
        <v>90</v>
      </c>
      <c r="F31" s="55" t="n">
        <f aca="false">R22</f>
        <v>92</v>
      </c>
      <c r="G31" s="55" t="n">
        <f aca="false">R23</f>
        <v>85</v>
      </c>
      <c r="H31" s="55" t="n">
        <f aca="false">R24</f>
        <v>82</v>
      </c>
      <c r="I31" s="55" t="n">
        <f aca="false">R25</f>
        <v>70</v>
      </c>
      <c r="J31" s="56" t="n">
        <f aca="false">ROUND(AVERAGE(C31:I31),1)</f>
        <v>80.9</v>
      </c>
      <c r="K31" s="57" t="n">
        <f aca="false">ROUND(J31-ROUND(AVERAGE(J31,J32,J33,J34,J35,J36,J37,J38),1),1)</f>
        <v>8.9</v>
      </c>
    </row>
    <row r="32" customFormat="false" ht="19.5" hidden="false" customHeight="true" outlineLevel="0" collapsed="false">
      <c r="A32" s="58" t="str">
        <f aca="false">B11</f>
        <v>Marcus Thorne</v>
      </c>
      <c r="B32" s="24" t="str">
        <f aca="false">C11</f>
        <v>External</v>
      </c>
      <c r="C32" s="59" t="n">
        <f aca="false">S19</f>
        <v>80</v>
      </c>
      <c r="D32" s="59" t="n">
        <f aca="false">S20</f>
        <v>76</v>
      </c>
      <c r="E32" s="59" t="n">
        <f aca="false">S21</f>
        <v>92</v>
      </c>
      <c r="F32" s="59" t="n">
        <f aca="false">S22</f>
        <v>95</v>
      </c>
      <c r="G32" s="59" t="n">
        <f aca="false">S23</f>
        <v>88</v>
      </c>
      <c r="H32" s="59" t="n">
        <f aca="false">S24</f>
        <v>88</v>
      </c>
      <c r="I32" s="59" t="n">
        <f aca="false">S25</f>
        <v>72</v>
      </c>
      <c r="J32" s="60" t="n">
        <f aca="false">ROUND(AVERAGE(C32:I32),1)</f>
        <v>84.4</v>
      </c>
      <c r="K32" s="61" t="n">
        <f aca="false">ROUND(J32-ROUND(AVERAGE(J31,J32,J33,J34,J35,J36,J37,J38),1),1)</f>
        <v>12.4</v>
      </c>
    </row>
    <row r="33" customFormat="false" ht="19.5" hidden="false" customHeight="true" outlineLevel="0" collapsed="false">
      <c r="A33" s="54" t="str">
        <f aca="false">B12</f>
        <v>Elena Rodriguez</v>
      </c>
      <c r="B33" s="17" t="str">
        <f aca="false">C12</f>
        <v>Internal</v>
      </c>
      <c r="C33" s="55" t="n">
        <f aca="false">T19</f>
        <v>70</v>
      </c>
      <c r="D33" s="55" t="n">
        <f aca="false">T20</f>
        <v>70</v>
      </c>
      <c r="E33" s="55" t="n">
        <f aca="false">T21</f>
        <v>95</v>
      </c>
      <c r="F33" s="55" t="n">
        <f aca="false">T22</f>
        <v>88</v>
      </c>
      <c r="G33" s="55" t="n">
        <f aca="false">T23</f>
        <v>80</v>
      </c>
      <c r="H33" s="55" t="n">
        <f aca="false">T24</f>
        <v>85</v>
      </c>
      <c r="I33" s="55" t="n">
        <f aca="false">T25</f>
        <v>68</v>
      </c>
      <c r="J33" s="56" t="n">
        <f aca="false">ROUND(AVERAGE(C33:I33),1)</f>
        <v>79.4</v>
      </c>
      <c r="K33" s="57" t="n">
        <f aca="false">ROUND(J33-ROUND(AVERAGE(J31,J32,J33,J34,J35,J36,J37,J38),1),1)</f>
        <v>7.4</v>
      </c>
    </row>
    <row r="34" customFormat="false" ht="19.5" hidden="false" customHeight="true" outlineLevel="0" collapsed="false">
      <c r="A34" s="58" t="str">
        <f aca="false">B13</f>
        <v>David Chen</v>
      </c>
      <c r="B34" s="24" t="str">
        <f aca="false">C13</f>
        <v>External</v>
      </c>
      <c r="C34" s="59" t="n">
        <f aca="false">U19</f>
        <v>72</v>
      </c>
      <c r="D34" s="59" t="n">
        <f aca="false">U20</f>
        <v>68</v>
      </c>
      <c r="E34" s="59" t="n">
        <f aca="false">U21</f>
        <v>80</v>
      </c>
      <c r="F34" s="59" t="n">
        <f aca="false">U22</f>
        <v>80</v>
      </c>
      <c r="G34" s="59" t="n">
        <f aca="false">U23</f>
        <v>75</v>
      </c>
      <c r="H34" s="59" t="n">
        <f aca="false">U24</f>
        <v>78</v>
      </c>
      <c r="I34" s="59" t="n">
        <f aca="false">U25</f>
        <v>65</v>
      </c>
      <c r="J34" s="60" t="n">
        <f aca="false">ROUND(AVERAGE(C34:I34),1)</f>
        <v>74</v>
      </c>
      <c r="K34" s="61" t="n">
        <f aca="false">ROUND(J34-ROUND(AVERAGE(J31,J32,J33,J34,J35,J36,J37,J38),1),1)</f>
        <v>2</v>
      </c>
    </row>
    <row r="35" customFormat="false" ht="19.5" hidden="false" customHeight="true" outlineLevel="0" collapsed="false">
      <c r="A35" s="54" t="str">
        <f aca="false">B14</f>
        <v>Sarah Jenkins</v>
      </c>
      <c r="B35" s="17" t="str">
        <f aca="false">C14</f>
        <v>Internal</v>
      </c>
      <c r="C35" s="55" t="n">
        <f aca="false">V19</f>
        <v>68</v>
      </c>
      <c r="D35" s="55" t="n">
        <f aca="false">V20</f>
        <v>70</v>
      </c>
      <c r="E35" s="55" t="n">
        <f aca="false">V21</f>
        <v>75</v>
      </c>
      <c r="F35" s="55" t="n">
        <f aca="false">V22</f>
        <v>78</v>
      </c>
      <c r="G35" s="55" t="n">
        <f aca="false">V23</f>
        <v>72</v>
      </c>
      <c r="H35" s="55" t="n">
        <f aca="false">V24</f>
        <v>74</v>
      </c>
      <c r="I35" s="55" t="n">
        <f aca="false">V25</f>
        <v>62</v>
      </c>
      <c r="J35" s="56" t="n">
        <f aca="false">ROUND(AVERAGE(C35:I35),1)</f>
        <v>71.3</v>
      </c>
      <c r="K35" s="57" t="n">
        <f aca="false">ROUND(J35-ROUND(AVERAGE(J31,J32,J33,J34,J35,J36,J37,J38),1),1)</f>
        <v>-0.7</v>
      </c>
    </row>
    <row r="36" customFormat="false" ht="19.5" hidden="false" customHeight="true" outlineLevel="0" collapsed="false">
      <c r="A36" s="58" t="str">
        <f aca="false">B15</f>
        <v>Julian Vane</v>
      </c>
      <c r="B36" s="24" t="str">
        <f aca="false">C15</f>
        <v>External</v>
      </c>
      <c r="C36" s="59" t="n">
        <f aca="false">W19</f>
        <v>60</v>
      </c>
      <c r="D36" s="59" t="n">
        <f aca="false">W20</f>
        <v>65</v>
      </c>
      <c r="E36" s="59" t="n">
        <f aca="false">W21</f>
        <v>70</v>
      </c>
      <c r="F36" s="59" t="n">
        <f aca="false">W22</f>
        <v>72</v>
      </c>
      <c r="G36" s="59" t="n">
        <f aca="false">W23</f>
        <v>68</v>
      </c>
      <c r="H36" s="59" t="n">
        <f aca="false">W24</f>
        <v>70</v>
      </c>
      <c r="I36" s="59" t="n">
        <f aca="false">W25</f>
        <v>60</v>
      </c>
      <c r="J36" s="60" t="n">
        <f aca="false">ROUND(AVERAGE(C36:I36),1)</f>
        <v>66.4</v>
      </c>
      <c r="K36" s="61" t="n">
        <f aca="false">ROUND(J36-ROUND(AVERAGE(J31,J32,J33,J34,J35,J36,J37,J38),1),1)</f>
        <v>-5.6</v>
      </c>
    </row>
    <row r="37" customFormat="false" ht="19.5" hidden="false" customHeight="true" outlineLevel="0" collapsed="false">
      <c r="A37" s="54" t="str">
        <f aca="false">B16</f>
        <v>Linda Wu</v>
      </c>
      <c r="B37" s="17" t="str">
        <f aca="false">C16</f>
        <v>Internal</v>
      </c>
      <c r="C37" s="55" t="n">
        <f aca="false">X19</f>
        <v>55</v>
      </c>
      <c r="D37" s="55" t="n">
        <f aca="false">X20</f>
        <v>62</v>
      </c>
      <c r="E37" s="55" t="n">
        <f aca="false">X21</f>
        <v>68</v>
      </c>
      <c r="F37" s="55" t="n">
        <f aca="false">X22</f>
        <v>66</v>
      </c>
      <c r="G37" s="55" t="n">
        <f aca="false">X23</f>
        <v>62</v>
      </c>
      <c r="H37" s="55" t="n">
        <f aca="false">X24</f>
        <v>65</v>
      </c>
      <c r="I37" s="55" t="n">
        <f aca="false">X25</f>
        <v>58</v>
      </c>
      <c r="J37" s="56" t="n">
        <f aca="false">ROUND(AVERAGE(C37:I37),1)</f>
        <v>62.3</v>
      </c>
      <c r="K37" s="57" t="n">
        <f aca="false">ROUND(J37-ROUND(AVERAGE(J31,J32,J33,J34,J35,J36,J37,J38),1),1)</f>
        <v>-9.7</v>
      </c>
    </row>
    <row r="38" customFormat="false" ht="19.5" hidden="false" customHeight="true" outlineLevel="0" collapsed="false">
      <c r="A38" s="58" t="str">
        <f aca="false">B17</f>
        <v>Thomas More</v>
      </c>
      <c r="B38" s="24" t="str">
        <f aca="false">C17</f>
        <v>External</v>
      </c>
      <c r="C38" s="59" t="n">
        <f aca="false">Y19</f>
        <v>50</v>
      </c>
      <c r="D38" s="59" t="n">
        <f aca="false">Y20</f>
        <v>58</v>
      </c>
      <c r="E38" s="59" t="n">
        <f aca="false">Y21</f>
        <v>62</v>
      </c>
      <c r="F38" s="59" t="n">
        <f aca="false">Y22</f>
        <v>60</v>
      </c>
      <c r="G38" s="59" t="n">
        <f aca="false">Y23</f>
        <v>58</v>
      </c>
      <c r="H38" s="59" t="n">
        <f aca="false">Y24</f>
        <v>60</v>
      </c>
      <c r="I38" s="59" t="n">
        <f aca="false">Y25</f>
        <v>55</v>
      </c>
      <c r="J38" s="60" t="n">
        <f aca="false">ROUND(AVERAGE(C38:I38),1)</f>
        <v>57.6</v>
      </c>
      <c r="K38" s="61" t="n">
        <f aca="false">ROUND(J38-ROUND(AVERAGE(J31,J32,J33,J34,J35,J36,J37,J38),1),1)</f>
        <v>-14.4</v>
      </c>
    </row>
    <row r="39" customFormat="false" ht="13.5" hidden="false" customHeight="true" outlineLevel="0" collapsed="false">
      <c r="A39" s="62" t="s">
        <v>109</v>
      </c>
      <c r="B39" s="62"/>
      <c r="C39" s="63" t="n">
        <f aca="false">ROUND(AVERAGE(C31:C38),1)</f>
        <v>66.3</v>
      </c>
      <c r="D39" s="63" t="n">
        <f aca="false">ROUND(AVERAGE(D31:D38),1)</f>
        <v>67.6</v>
      </c>
      <c r="E39" s="63" t="n">
        <f aca="false">ROUND(AVERAGE(E31:E38),1)</f>
        <v>79</v>
      </c>
      <c r="F39" s="63" t="n">
        <f aca="false">ROUND(AVERAGE(F31:F38),1)</f>
        <v>78.9</v>
      </c>
      <c r="G39" s="63" t="n">
        <f aca="false">ROUND(AVERAGE(G31:G38),1)</f>
        <v>73.5</v>
      </c>
      <c r="H39" s="63" t="n">
        <f aca="false">ROUND(AVERAGE(H31:H38),1)</f>
        <v>75.3</v>
      </c>
      <c r="I39" s="63" t="n">
        <f aca="false">ROUND(AVERAGE(I31:I38),1)</f>
        <v>63.8</v>
      </c>
    </row>
    <row r="40" customFormat="false" ht="19.5" hidden="false" customHeight="true" outlineLevel="0" collapsed="false">
      <c r="A40" s="26" t="s">
        <v>110</v>
      </c>
      <c r="B40" s="64" t="str">
        <f aca="false">INDEX(B10:B17,MATCH(1,D10:D17,0))&amp;" — Score: "&amp;TEXT(MAX(J10:J17),"0.0")</f>
        <v>Marcus Thorne — Score: 89.2</v>
      </c>
      <c r="C40" s="64"/>
      <c r="D40" s="64"/>
      <c r="E40" s="64"/>
      <c r="F40" s="64"/>
      <c r="G40" s="64"/>
      <c r="H40" s="64"/>
    </row>
    <row r="41" customFormat="false" ht="19.5" hidden="false" customHeight="true" outlineLevel="0" collapsed="false">
      <c r="A41" s="26" t="s">
        <v>111</v>
      </c>
      <c r="B41" s="64" t="str">
        <f aca="false">IF(MAX(J10:J17)&gt;=90,"STRONG FIT",IF(MAX(J10:J17)&gt;=80,"GOOD FIT","MODERATE FIT"))</f>
        <v>GOOD FIT</v>
      </c>
      <c r="C41" s="64"/>
      <c r="D41" s="64"/>
      <c r="E41" s="64"/>
      <c r="F41" s="64"/>
      <c r="G41" s="64"/>
      <c r="H41" s="64"/>
    </row>
    <row r="42" customFormat="false" ht="19.5" hidden="false" customHeight="true" outlineLevel="0" collapsed="false">
      <c r="A42" s="26" t="s">
        <v>112</v>
      </c>
      <c r="B42" s="64" t="str">
        <f aca="false">IF(MAX(J10:J17)&gt;=90,"HIGH",IF(MAX(J10:J17)&gt;=80,"MEDIUM","LOW"))</f>
        <v>MEDIUM</v>
      </c>
      <c r="C42" s="64"/>
      <c r="D42" s="64"/>
      <c r="E42" s="64"/>
      <c r="F42" s="64"/>
      <c r="G42" s="64"/>
      <c r="H42" s="64"/>
    </row>
    <row r="43" customFormat="false" ht="19.5" hidden="false" customHeight="true" outlineLevel="0" collapsed="false">
      <c r="A43" s="26" t="s">
        <v>113</v>
      </c>
      <c r="B43" s="64" t="str">
        <f aca="false">IF(AVERAGEIF(C10:C17,"Internal",J10:J17)&gt;AVERAGEIF(C10:C17,"External",J10:J17),"Internal pool outperforms","External pool outperforms")&amp;" (Δ "&amp;TEXT(ROUND(ABS(AVERAGEIF(C10:C17,"Internal",J10:J17)-AVERAGEIF(C10:C17,"External",J10:J17)),1),"0.0")&amp;" pts)"</f>
        <v>Internal pool outperforms (Δ 3.4 pts)</v>
      </c>
      <c r="C43" s="64"/>
      <c r="D43" s="64"/>
      <c r="E43" s="64"/>
      <c r="F43" s="64"/>
      <c r="G43" s="64"/>
      <c r="H43" s="64"/>
    </row>
    <row r="44" customFormat="false" ht="19.5" hidden="false" customHeight="true" outlineLevel="0" collapsed="false">
      <c r="A44" s="26" t="s">
        <v>114</v>
      </c>
      <c r="B44" s="64" t="str">
        <f aca="false">IF(COUNTIF(N10:N17,"⚠ NEAR_TIE")&gt;0,"⚠ "&amp;COUNTIF(N10:N17,"⚠ NEAR_TIE")&amp;" near-tie pair(s) detected — review criterion scores before final decision","✓ No ties detected")</f>
        <v>✓ No ties detected</v>
      </c>
      <c r="C44" s="64"/>
      <c r="D44" s="64"/>
      <c r="E44" s="64"/>
      <c r="F44" s="64"/>
      <c r="G44" s="64"/>
      <c r="H44" s="64"/>
    </row>
  </sheetData>
  <mergeCells count="18">
    <mergeCell ref="A2:O2"/>
    <mergeCell ref="A3:O3"/>
    <mergeCell ref="B7:H7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A39:B39"/>
    <mergeCell ref="B40:H40"/>
    <mergeCell ref="B41:H41"/>
    <mergeCell ref="B42:H42"/>
    <mergeCell ref="B43:H43"/>
    <mergeCell ref="B44:H44"/>
  </mergeCells>
  <conditionalFormatting sqref="E10:E17">
    <cfRule type="colorScale" priority="2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F10:F17">
    <cfRule type="colorScale" priority="3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G10:G17">
    <cfRule type="colorScale" priority="4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H10:H17">
    <cfRule type="colorScale" priority="5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I10:I17">
    <cfRule type="colorScale" priority="6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J10:J17">
    <cfRule type="dataBar" priority="7">
      <dataBar showValue="1" minLength="10" maxLength="90">
        <cfvo type="num" val="60"/>
        <cfvo type="num" val="100"/>
        <color rgb="FF0066CC"/>
      </dataBar>
      <extLst>
        <ext xmlns:x14="http://schemas.microsoft.com/office/spreadsheetml/2009/9/main" uri="{B025F937-C7B1-47D3-B67F-A62EFF666E3E}">
          <x14:id>{652EE896-CC12-4344-9B23-AFD0E7DB31B9}</x14:id>
        </ext>
      </extLst>
    </cfRule>
  </conditionalFormatting>
  <conditionalFormatting sqref="C31:C38">
    <cfRule type="colorScale" priority="8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D31:D38">
    <cfRule type="colorScale" priority="9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E31:E38">
    <cfRule type="colorScale" priority="10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F31:F38">
    <cfRule type="colorScale" priority="11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G31:G38">
    <cfRule type="colorScale" priority="12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H31:H38">
    <cfRule type="colorScale" priority="13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I31:I38">
    <cfRule type="colorScale" priority="14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2EE896-CC12-4344-9B23-AFD0E7DB31B9}">
            <x14:dataBar minLength="10" maxLength="90" axisPosition="none" gradient="true">
              <x14:cfvo type="num">
                <xm:f>60</xm:f>
              </x14:cfvo>
              <x14:cfvo type="num">
                <xm:f>100</xm:f>
              </x14:cfvo>
              <x14:negativeFillColor rgb="FF0066CC"/>
              <x14:axisColor rgb="FF000000"/>
            </x14:dataBar>
          </x14:cfRule>
          <xm:sqref>J10:J17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9" min="3" style="0" width="14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4" min="13" style="0" width="18"/>
    <col collapsed="false" customWidth="true" hidden="false" outlineLevel="0" max="15" min="15" style="0" width="16"/>
  </cols>
  <sheetData>
    <row r="1" customFormat="false" ht="6" hidden="false" customHeight="true" outlineLevel="0" collapsed="false"/>
    <row r="2" customFormat="false" ht="36" hidden="false" customHeight="true" outlineLevel="0" collapsed="false">
      <c r="A2" s="30" t="s">
        <v>125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customFormat="false" ht="18" hidden="false" customHeight="true" outlineLevel="0" collapsed="false">
      <c r="A3" s="2" t="s">
        <v>126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3.5" hidden="false" customHeight="true" outlineLevel="0" collapsed="false">
      <c r="A5" s="10" t="s">
        <v>52</v>
      </c>
      <c r="B5" s="31" t="s">
        <v>53</v>
      </c>
      <c r="C5" s="31" t="s">
        <v>54</v>
      </c>
      <c r="D5" s="31" t="s">
        <v>55</v>
      </c>
      <c r="E5" s="31" t="s">
        <v>56</v>
      </c>
      <c r="F5" s="31" t="s">
        <v>57</v>
      </c>
      <c r="H5" s="31" t="s">
        <v>58</v>
      </c>
    </row>
    <row r="6" customFormat="false" ht="24" hidden="false" customHeight="true" outlineLevel="0" collapsed="false">
      <c r="B6" s="32" t="n">
        <v>0.15</v>
      </c>
      <c r="C6" s="32" t="n">
        <v>0.25</v>
      </c>
      <c r="D6" s="32" t="n">
        <v>0.25</v>
      </c>
      <c r="E6" s="32" t="n">
        <v>0.1</v>
      </c>
      <c r="F6" s="32" t="n">
        <v>0.25</v>
      </c>
      <c r="H6" s="33" t="n">
        <f aca="false">SUM(B6,C6,D6,E6,F6)</f>
        <v>1</v>
      </c>
    </row>
    <row r="7" customFormat="false" ht="13.5" hidden="false" customHeight="true" outlineLevel="0" collapsed="false">
      <c r="B7" s="34" t="str">
        <f aca="false">IF(H6=1,"✓ Weights valid — sum = 1.00","⚠ Weights do not sum to 1.00 — adjust before running")</f>
        <v>✓ Weights valid — sum = 1.00</v>
      </c>
      <c r="C7" s="34"/>
      <c r="D7" s="34"/>
      <c r="E7" s="34"/>
      <c r="F7" s="34"/>
      <c r="G7" s="34"/>
      <c r="H7" s="34"/>
    </row>
    <row r="8" customFormat="false" ht="6" hidden="false" customHeight="true" outlineLevel="0" collapsed="false"/>
    <row r="9" customFormat="false" ht="31.5" hidden="false" customHeight="true" outlineLevel="0" collapsed="false">
      <c r="A9" s="35" t="s">
        <v>59</v>
      </c>
      <c r="B9" s="35" t="s">
        <v>60</v>
      </c>
      <c r="C9" s="35" t="s">
        <v>61</v>
      </c>
      <c r="D9" s="35" t="s">
        <v>62</v>
      </c>
      <c r="E9" s="35" t="s">
        <v>63</v>
      </c>
      <c r="F9" s="35" t="s">
        <v>64</v>
      </c>
      <c r="G9" s="35" t="s">
        <v>65</v>
      </c>
      <c r="H9" s="35" t="s">
        <v>66</v>
      </c>
      <c r="I9" s="35" t="s">
        <v>57</v>
      </c>
      <c r="J9" s="35" t="s">
        <v>67</v>
      </c>
      <c r="K9" s="35" t="s">
        <v>68</v>
      </c>
      <c r="L9" s="35" t="s">
        <v>69</v>
      </c>
      <c r="M9" s="35" t="s">
        <v>70</v>
      </c>
      <c r="N9" s="35" t="s">
        <v>71</v>
      </c>
      <c r="O9" s="35" t="s">
        <v>32</v>
      </c>
    </row>
    <row r="10" customFormat="false" ht="19.5" hidden="false" customHeight="true" outlineLevel="0" collapsed="false">
      <c r="A10" s="36" t="n">
        <v>1</v>
      </c>
      <c r="B10" s="37" t="s">
        <v>72</v>
      </c>
      <c r="C10" s="38" t="s">
        <v>73</v>
      </c>
      <c r="D10" s="39" t="n">
        <f aca="false">RANK(J10,$J$10:$J$17,0)</f>
        <v>1</v>
      </c>
      <c r="E10" s="40" t="n">
        <v>80</v>
      </c>
      <c r="F10" s="40" t="n">
        <v>88</v>
      </c>
      <c r="G10" s="40" t="n">
        <v>92</v>
      </c>
      <c r="H10" s="40" t="n">
        <v>82</v>
      </c>
      <c r="I10" s="40" t="n">
        <v>90</v>
      </c>
      <c r="J10" s="41" t="n">
        <f aca="false">ROUND(E10*B6+F10*C6+G10*D6+H10*E6+I10*F6,1)</f>
        <v>87.7</v>
      </c>
      <c r="K10" s="42" t="str">
        <f aca="false">IF(J10&gt;=90,"STRONG FIT",IF(J10&gt;=80,"GOOD FIT",IF(J10&gt;=70,"MODERATE FIT","BELOW THRESHOLD")))</f>
        <v>GOOD FIT</v>
      </c>
      <c r="L10" s="43" t="n">
        <f aca="false">ROUND(J10-AVERAGE($J$10:$J$17),1)</f>
        <v>8.9</v>
      </c>
      <c r="M10" s="44" t="s">
        <v>127</v>
      </c>
      <c r="N10" s="24" t="str">
        <f aca="false">IF(AND(D10&lt;=2,ABS(J10-IF(D10=1,LARGE($J$10:$J$17,2),LARGE($J$10:$J$17,1)))&lt;=2),"⚠ NEAR_TIE",IF(COUNTIF(E10:I10,"")&gt;2,"INSUFFICIENT_DATA","CLEAR"))</f>
        <v>CLEAR</v>
      </c>
      <c r="O10" s="42" t="str">
        <f aca="false">IF(J10&gt;=88,"SHORTLIST",IF(J10&gt;=80,"REVIEW",IF(J10&gt;=70,"HOLD","REJECT")))</f>
        <v>REVIEW</v>
      </c>
    </row>
    <row r="11" customFormat="false" ht="19.5" hidden="false" customHeight="true" outlineLevel="0" collapsed="false">
      <c r="A11" s="45" t="n">
        <v>2</v>
      </c>
      <c r="B11" s="37" t="s">
        <v>75</v>
      </c>
      <c r="C11" s="38" t="s">
        <v>76</v>
      </c>
      <c r="D11" s="46" t="n">
        <f aca="false">RANK(J11,$J$10:$J$17,0)</f>
        <v>3</v>
      </c>
      <c r="E11" s="40" t="n">
        <v>75</v>
      </c>
      <c r="F11" s="40" t="n">
        <v>85</v>
      </c>
      <c r="G11" s="40" t="n">
        <v>80</v>
      </c>
      <c r="H11" s="40" t="n">
        <v>78</v>
      </c>
      <c r="I11" s="40" t="n">
        <v>82</v>
      </c>
      <c r="J11" s="47" t="n">
        <f aca="false">ROUND(E11*B6+F11*C6+G11*D6+H11*E6+I11*F6,1)</f>
        <v>80.8</v>
      </c>
      <c r="K11" s="48" t="str">
        <f aca="false">IF(J11&gt;=90,"STRONG FIT",IF(J11&gt;=80,"GOOD FIT",IF(J11&gt;=70,"MODERATE FIT","BELOW THRESHOLD")))</f>
        <v>GOOD FIT</v>
      </c>
      <c r="L11" s="49" t="n">
        <f aca="false">ROUND(J11-AVERAGE($J$10:$J$17),1)</f>
        <v>2</v>
      </c>
      <c r="M11" s="44" t="s">
        <v>128</v>
      </c>
      <c r="N11" s="17" t="str">
        <f aca="false">IF(AND(D11&lt;=2,ABS(J11-IF(D11=1,LARGE($J$10:$J$17,2),LARGE($J$10:$J$17,1)))&lt;=2),"⚠ NEAR_TIE",IF(COUNTIF(E11:I11,"")&gt;2,"INSUFFICIENT_DATA","CLEAR"))</f>
        <v>CLEAR</v>
      </c>
      <c r="O11" s="48" t="str">
        <f aca="false">IF(J11&gt;=88,"SHORTLIST",IF(J11&gt;=80,"REVIEW",IF(J11&gt;=70,"HOLD","REJECT")))</f>
        <v>REVIEW</v>
      </c>
    </row>
    <row r="12" customFormat="false" ht="19.5" hidden="false" customHeight="true" outlineLevel="0" collapsed="false">
      <c r="A12" s="36" t="n">
        <v>3</v>
      </c>
      <c r="B12" s="37" t="s">
        <v>78</v>
      </c>
      <c r="C12" s="38" t="s">
        <v>73</v>
      </c>
      <c r="D12" s="39" t="n">
        <f aca="false">RANK(J12,$J$10:$J$17,0)</f>
        <v>2</v>
      </c>
      <c r="E12" s="40" t="n">
        <v>72</v>
      </c>
      <c r="F12" s="40" t="n">
        <v>80</v>
      </c>
      <c r="G12" s="40" t="n">
        <v>85</v>
      </c>
      <c r="H12" s="40" t="n">
        <v>75</v>
      </c>
      <c r="I12" s="40" t="n">
        <v>88</v>
      </c>
      <c r="J12" s="41" t="n">
        <f aca="false">ROUND(E12*B6+F12*C6+G12*D6+H12*E6+I12*F6,1)</f>
        <v>81.6</v>
      </c>
      <c r="K12" s="42" t="str">
        <f aca="false">IF(J12&gt;=90,"STRONG FIT",IF(J12&gt;=80,"GOOD FIT",IF(J12&gt;=70,"MODERATE FIT","BELOW THRESHOLD")))</f>
        <v>GOOD FIT</v>
      </c>
      <c r="L12" s="43" t="n">
        <f aca="false">ROUND(J12-AVERAGE($J$10:$J$17),1)</f>
        <v>2.8</v>
      </c>
      <c r="M12" s="44" t="s">
        <v>129</v>
      </c>
      <c r="N12" s="24" t="str">
        <f aca="false">IF(AND(D12&lt;=2,ABS(J12-IF(D12=1,LARGE($J$10:$J$17,2),LARGE($J$10:$J$17,1)))&lt;=2),"⚠ NEAR_TIE",IF(COUNTIF(E12:I12,"")&gt;2,"INSUFFICIENT_DATA","CLEAR"))</f>
        <v>CLEAR</v>
      </c>
      <c r="O12" s="42" t="str">
        <f aca="false">IF(J12&gt;=88,"SHORTLIST",IF(J12&gt;=80,"REVIEW",IF(J12&gt;=70,"HOLD","REJECT")))</f>
        <v>REVIEW</v>
      </c>
    </row>
    <row r="13" customFormat="false" ht="19.5" hidden="false" customHeight="true" outlineLevel="0" collapsed="false">
      <c r="A13" s="45" t="n">
        <v>4</v>
      </c>
      <c r="B13" s="37" t="s">
        <v>80</v>
      </c>
      <c r="C13" s="38" t="s">
        <v>76</v>
      </c>
      <c r="D13" s="46" t="n">
        <f aca="false">RANK(J13,$J$10:$J$17,0)</f>
        <v>6</v>
      </c>
      <c r="E13" s="40" t="n">
        <v>70</v>
      </c>
      <c r="F13" s="40" t="n">
        <v>78</v>
      </c>
      <c r="G13" s="40" t="n">
        <v>75</v>
      </c>
      <c r="H13" s="40" t="n">
        <v>72</v>
      </c>
      <c r="I13" s="40" t="n">
        <v>80</v>
      </c>
      <c r="J13" s="47" t="n">
        <f aca="false">ROUND(E13*B6+F13*C6+G13*D6+H13*E6+I13*F6,1)</f>
        <v>76</v>
      </c>
      <c r="K13" s="48" t="str">
        <f aca="false">IF(J13&gt;=90,"STRONG FIT",IF(J13&gt;=80,"GOOD FIT",IF(J13&gt;=70,"MODERATE FIT","BELOW THRESHOLD")))</f>
        <v>MODERATE FIT</v>
      </c>
      <c r="L13" s="49" t="n">
        <f aca="false">ROUND(J13-AVERAGE($J$10:$J$17),1)</f>
        <v>-2.8</v>
      </c>
      <c r="M13" s="44" t="s">
        <v>130</v>
      </c>
      <c r="N13" s="17" t="str">
        <f aca="false">IF(AND(D13&lt;=2,ABS(J13-IF(D13=1,LARGE($J$10:$J$17,2),LARGE($J$10:$J$17,1)))&lt;=2),"⚠ NEAR_TIE",IF(COUNTIF(E13:I13,"")&gt;2,"INSUFFICIENT_DATA","CLEAR"))</f>
        <v>CLEAR</v>
      </c>
      <c r="O13" s="48" t="str">
        <f aca="false">IF(J13&gt;=88,"SHORTLIST",IF(J13&gt;=80,"REVIEW",IF(J13&gt;=70,"HOLD","REJECT")))</f>
        <v>HOLD</v>
      </c>
    </row>
    <row r="14" customFormat="false" ht="19.5" hidden="false" customHeight="true" outlineLevel="0" collapsed="false">
      <c r="A14" s="36" t="n">
        <v>5</v>
      </c>
      <c r="B14" s="37" t="s">
        <v>82</v>
      </c>
      <c r="C14" s="38" t="s">
        <v>73</v>
      </c>
      <c r="D14" s="39" t="n">
        <f aca="false">RANK(J14,$J$10:$J$17,0)</f>
        <v>8</v>
      </c>
      <c r="E14" s="40" t="n">
        <v>68</v>
      </c>
      <c r="F14" s="40" t="n">
        <v>76</v>
      </c>
      <c r="G14" s="40" t="n">
        <v>78</v>
      </c>
      <c r="H14" s="40" t="n">
        <v>70</v>
      </c>
      <c r="I14" s="40" t="n">
        <v>75</v>
      </c>
      <c r="J14" s="41" t="n">
        <f aca="false">ROUND(E14*B6+F14*C6+G14*D6+H14*E6+I14*F6,1)</f>
        <v>74.5</v>
      </c>
      <c r="K14" s="42" t="str">
        <f aca="false">IF(J14&gt;=90,"STRONG FIT",IF(J14&gt;=80,"GOOD FIT",IF(J14&gt;=70,"MODERATE FIT","BELOW THRESHOLD")))</f>
        <v>MODERATE FIT</v>
      </c>
      <c r="L14" s="43" t="n">
        <f aca="false">ROUND(J14-AVERAGE($J$10:$J$17),1)</f>
        <v>-4.3</v>
      </c>
      <c r="M14" s="44" t="s">
        <v>131</v>
      </c>
      <c r="N14" s="24" t="str">
        <f aca="false">IF(AND(D14&lt;=2,ABS(J14-IF(D14=1,LARGE($J$10:$J$17,2),LARGE($J$10:$J$17,1)))&lt;=2),"⚠ NEAR_TIE",IF(COUNTIF(E14:I14,"")&gt;2,"INSUFFICIENT_DATA","CLEAR"))</f>
        <v>CLEAR</v>
      </c>
      <c r="O14" s="42" t="str">
        <f aca="false">IF(J14&gt;=88,"SHORTLIST",IF(J14&gt;=80,"REVIEW",IF(J14&gt;=70,"HOLD","REJECT")))</f>
        <v>HOLD</v>
      </c>
    </row>
    <row r="15" customFormat="false" ht="19.5" hidden="false" customHeight="true" outlineLevel="0" collapsed="false">
      <c r="A15" s="45" t="n">
        <v>6</v>
      </c>
      <c r="B15" s="37" t="s">
        <v>84</v>
      </c>
      <c r="C15" s="38" t="s">
        <v>76</v>
      </c>
      <c r="D15" s="46" t="n">
        <f aca="false">RANK(J15,$J$10:$J$17,0)</f>
        <v>7</v>
      </c>
      <c r="E15" s="40" t="n">
        <v>82</v>
      </c>
      <c r="F15" s="40" t="n">
        <v>80</v>
      </c>
      <c r="G15" s="40" t="n">
        <v>72</v>
      </c>
      <c r="H15" s="40" t="n">
        <v>68</v>
      </c>
      <c r="I15" s="40" t="n">
        <v>70</v>
      </c>
      <c r="J15" s="47" t="n">
        <f aca="false">ROUND(E15*B6+F15*C6+G15*D6+H15*E6+I15*F6,1)</f>
        <v>74.6</v>
      </c>
      <c r="K15" s="48" t="str">
        <f aca="false">IF(J15&gt;=90,"STRONG FIT",IF(J15&gt;=80,"GOOD FIT",IF(J15&gt;=70,"MODERATE FIT","BELOW THRESHOLD")))</f>
        <v>MODERATE FIT</v>
      </c>
      <c r="L15" s="49" t="n">
        <f aca="false">ROUND(J15-AVERAGE($J$10:$J$17),1)</f>
        <v>-4.2</v>
      </c>
      <c r="M15" s="44" t="s">
        <v>132</v>
      </c>
      <c r="N15" s="17" t="str">
        <f aca="false">IF(AND(D15&lt;=2,ABS(J15-IF(D15=1,LARGE($J$10:$J$17,2),LARGE($J$10:$J$17,1)))&lt;=2),"⚠ NEAR_TIE",IF(COUNTIF(E15:I15,"")&gt;2,"INSUFFICIENT_DATA","CLEAR"))</f>
        <v>CLEAR</v>
      </c>
      <c r="O15" s="48" t="str">
        <f aca="false">IF(J15&gt;=88,"SHORTLIST",IF(J15&gt;=80,"REVIEW",IF(J15&gt;=70,"HOLD","REJECT")))</f>
        <v>HOLD</v>
      </c>
    </row>
    <row r="16" customFormat="false" ht="19.5" hidden="false" customHeight="true" outlineLevel="0" collapsed="false">
      <c r="A16" s="36" t="n">
        <v>7</v>
      </c>
      <c r="B16" s="37" t="s">
        <v>86</v>
      </c>
      <c r="C16" s="38" t="s">
        <v>73</v>
      </c>
      <c r="D16" s="39" t="n">
        <f aca="false">RANK(J16,$J$10:$J$17,0)</f>
        <v>5</v>
      </c>
      <c r="E16" s="40" t="n">
        <v>85</v>
      </c>
      <c r="F16" s="40" t="n">
        <v>78</v>
      </c>
      <c r="G16" s="40" t="n">
        <v>75</v>
      </c>
      <c r="H16" s="40" t="n">
        <v>72</v>
      </c>
      <c r="I16" s="40" t="n">
        <v>72</v>
      </c>
      <c r="J16" s="41" t="n">
        <f aca="false">ROUND(E16*B6+F16*C6+G16*D6+H16*E6+I16*F6,1)</f>
        <v>76.2</v>
      </c>
      <c r="K16" s="42" t="str">
        <f aca="false">IF(J16&gt;=90,"STRONG FIT",IF(J16&gt;=80,"GOOD FIT",IF(J16&gt;=70,"MODERATE FIT","BELOW THRESHOLD")))</f>
        <v>MODERATE FIT</v>
      </c>
      <c r="L16" s="43" t="n">
        <f aca="false">ROUND(J16-AVERAGE($J$10:$J$17),1)</f>
        <v>-2.6</v>
      </c>
      <c r="M16" s="44" t="s">
        <v>133</v>
      </c>
      <c r="N16" s="24" t="str">
        <f aca="false">IF(AND(D16&lt;=2,ABS(J16-IF(D16=1,LARGE($J$10:$J$17,2),LARGE($J$10:$J$17,1)))&lt;=2),"⚠ NEAR_TIE",IF(COUNTIF(E16:I16,"")&gt;2,"INSUFFICIENT_DATA","CLEAR"))</f>
        <v>CLEAR</v>
      </c>
      <c r="O16" s="42" t="str">
        <f aca="false">IF(J16&gt;=88,"SHORTLIST",IF(J16&gt;=80,"REVIEW",IF(J16&gt;=70,"HOLD","REJECT")))</f>
        <v>HOLD</v>
      </c>
    </row>
    <row r="17" customFormat="false" ht="19.5" hidden="false" customHeight="true" outlineLevel="0" collapsed="false">
      <c r="A17" s="45" t="n">
        <v>8</v>
      </c>
      <c r="B17" s="37" t="s">
        <v>88</v>
      </c>
      <c r="C17" s="38" t="s">
        <v>76</v>
      </c>
      <c r="D17" s="46" t="n">
        <f aca="false">RANK(J17,$J$10:$J$17,0)</f>
        <v>4</v>
      </c>
      <c r="E17" s="40" t="n">
        <v>80</v>
      </c>
      <c r="F17" s="40" t="n">
        <v>82</v>
      </c>
      <c r="G17" s="40" t="n">
        <v>78</v>
      </c>
      <c r="H17" s="40" t="n">
        <v>75</v>
      </c>
      <c r="I17" s="40" t="n">
        <v>78</v>
      </c>
      <c r="J17" s="47" t="n">
        <f aca="false">ROUND(E17*B6+F17*C6+G17*D6+H17*E6+I17*F6,1)</f>
        <v>79</v>
      </c>
      <c r="K17" s="48" t="str">
        <f aca="false">IF(J17&gt;=90,"STRONG FIT",IF(J17&gt;=80,"GOOD FIT",IF(J17&gt;=70,"MODERATE FIT","BELOW THRESHOLD")))</f>
        <v>MODERATE FIT</v>
      </c>
      <c r="L17" s="49" t="n">
        <f aca="false">ROUND(J17-AVERAGE($J$10:$J$17),1)</f>
        <v>0.2</v>
      </c>
      <c r="M17" s="44" t="s">
        <v>134</v>
      </c>
      <c r="N17" s="17" t="str">
        <f aca="false">IF(AND(D17&lt;=2,ABS(J17-IF(D17=1,LARGE($J$10:$J$17,2),LARGE($J$10:$J$17,1)))&lt;=2),"⚠ NEAR_TIE",IF(COUNTIF(E17:I17,"")&gt;2,"INSUFFICIENT_DATA","CLEAR"))</f>
        <v>CLEAR</v>
      </c>
      <c r="O17" s="48" t="str">
        <f aca="false">IF(J17&gt;=88,"SHORTLIST",IF(J17&gt;=80,"REVIEW",IF(J17&gt;=70,"HOLD","REJECT")))</f>
        <v>HOLD</v>
      </c>
    </row>
    <row r="19" customFormat="false" ht="13.5" hidden="false" customHeight="true" outlineLevel="0" collapsed="false">
      <c r="A19" s="10" t="s">
        <v>90</v>
      </c>
      <c r="R19" s="50" t="n">
        <v>70</v>
      </c>
      <c r="S19" s="50" t="n">
        <v>65</v>
      </c>
      <c r="T19" s="50" t="n">
        <v>60</v>
      </c>
      <c r="U19" s="50" t="n">
        <v>72</v>
      </c>
      <c r="V19" s="50" t="n">
        <v>68</v>
      </c>
      <c r="W19" s="50" t="n">
        <v>80</v>
      </c>
      <c r="X19" s="50" t="n">
        <v>75</v>
      </c>
      <c r="Y19" s="50" t="n">
        <v>72</v>
      </c>
    </row>
    <row r="20" customFormat="false" ht="18" hidden="false" customHeight="true" outlineLevel="0" collapsed="false">
      <c r="A20" s="51" t="s">
        <v>91</v>
      </c>
      <c r="B20" s="52" t="n">
        <f aca="false">ROUND(AVERAGE(J10:J17),1)</f>
        <v>78.8</v>
      </c>
      <c r="C20" s="52"/>
      <c r="D20" s="52"/>
      <c r="R20" s="50" t="n">
        <v>88</v>
      </c>
      <c r="S20" s="50" t="n">
        <v>82</v>
      </c>
      <c r="T20" s="50" t="n">
        <v>80</v>
      </c>
      <c r="U20" s="50" t="n">
        <v>78</v>
      </c>
      <c r="V20" s="50" t="n">
        <v>76</v>
      </c>
      <c r="W20" s="50" t="n">
        <v>80</v>
      </c>
      <c r="X20" s="50" t="n">
        <v>78</v>
      </c>
      <c r="Y20" s="50" t="n">
        <v>82</v>
      </c>
    </row>
    <row r="21" customFormat="false" ht="18" hidden="false" customHeight="true" outlineLevel="0" collapsed="false">
      <c r="A21" s="51" t="s">
        <v>92</v>
      </c>
      <c r="B21" s="52" t="n">
        <f aca="false">MAX(J10:J17)</f>
        <v>87.7</v>
      </c>
      <c r="C21" s="52"/>
      <c r="D21" s="52"/>
      <c r="R21" s="50" t="n">
        <v>80</v>
      </c>
      <c r="S21" s="50" t="n">
        <v>78</v>
      </c>
      <c r="T21" s="50" t="n">
        <v>85</v>
      </c>
      <c r="U21" s="50" t="n">
        <v>75</v>
      </c>
      <c r="V21" s="50" t="n">
        <v>72</v>
      </c>
      <c r="W21" s="50" t="n">
        <v>70</v>
      </c>
      <c r="X21" s="50" t="n">
        <v>68</v>
      </c>
      <c r="Y21" s="50" t="n">
        <v>72</v>
      </c>
    </row>
    <row r="22" customFormat="false" ht="18" hidden="false" customHeight="true" outlineLevel="0" collapsed="false">
      <c r="A22" s="51" t="s">
        <v>93</v>
      </c>
      <c r="B22" s="52" t="n">
        <f aca="false">MIN(J10:J17)</f>
        <v>74.5</v>
      </c>
      <c r="C22" s="52"/>
      <c r="D22" s="52"/>
      <c r="R22" s="50" t="n">
        <v>78</v>
      </c>
      <c r="S22" s="50" t="n">
        <v>75</v>
      </c>
      <c r="T22" s="50" t="n">
        <v>72</v>
      </c>
      <c r="U22" s="50" t="n">
        <v>70</v>
      </c>
      <c r="V22" s="50" t="n">
        <v>68</v>
      </c>
      <c r="W22" s="50" t="n">
        <v>65</v>
      </c>
      <c r="X22" s="50" t="n">
        <v>62</v>
      </c>
      <c r="Y22" s="50" t="n">
        <v>60</v>
      </c>
    </row>
    <row r="23" customFormat="false" ht="18" hidden="false" customHeight="true" outlineLevel="0" collapsed="false">
      <c r="A23" s="51" t="s">
        <v>94</v>
      </c>
      <c r="B23" s="52" t="n">
        <f aca="false">ROUND(AVERAGEIF(C10:C17,"Internal",J10:J17),1)</f>
        <v>80</v>
      </c>
      <c r="C23" s="52"/>
      <c r="D23" s="52"/>
      <c r="R23" s="50" t="n">
        <v>85</v>
      </c>
      <c r="S23" s="50" t="n">
        <v>80</v>
      </c>
      <c r="T23" s="50" t="n">
        <v>82</v>
      </c>
      <c r="U23" s="50" t="n">
        <v>78</v>
      </c>
      <c r="V23" s="50" t="n">
        <v>75</v>
      </c>
      <c r="W23" s="50" t="n">
        <v>72</v>
      </c>
      <c r="X23" s="50" t="n">
        <v>70</v>
      </c>
      <c r="Y23" s="50" t="n">
        <v>75</v>
      </c>
    </row>
    <row r="24" customFormat="false" ht="18" hidden="false" customHeight="true" outlineLevel="0" collapsed="false">
      <c r="A24" s="51" t="s">
        <v>95</v>
      </c>
      <c r="B24" s="52" t="n">
        <f aca="false">ROUND(AVERAGEIF(C10:C17,"External",J10:J17),1)</f>
        <v>77.6</v>
      </c>
      <c r="C24" s="52"/>
      <c r="D24" s="52"/>
      <c r="R24" s="50" t="n">
        <v>92</v>
      </c>
      <c r="S24" s="50" t="n">
        <v>85</v>
      </c>
      <c r="T24" s="50" t="n">
        <v>88</v>
      </c>
      <c r="U24" s="50" t="n">
        <v>80</v>
      </c>
      <c r="V24" s="50" t="n">
        <v>78</v>
      </c>
      <c r="W24" s="50" t="n">
        <v>75</v>
      </c>
      <c r="X24" s="50" t="n">
        <v>80</v>
      </c>
      <c r="Y24" s="50" t="n">
        <v>82</v>
      </c>
    </row>
    <row r="25" customFormat="false" ht="18" hidden="false" customHeight="true" outlineLevel="0" collapsed="false">
      <c r="A25" s="51" t="s">
        <v>96</v>
      </c>
      <c r="B25" s="53" t="n">
        <f aca="false">COUNTIF(O10:O17,"SHORTLIST")</f>
        <v>0</v>
      </c>
      <c r="C25" s="53"/>
      <c r="D25" s="53"/>
      <c r="R25" s="50" t="n">
        <v>95</v>
      </c>
      <c r="S25" s="50" t="n">
        <v>88</v>
      </c>
      <c r="T25" s="50" t="n">
        <v>90</v>
      </c>
      <c r="U25" s="50" t="n">
        <v>82</v>
      </c>
      <c r="V25" s="50" t="n">
        <v>80</v>
      </c>
      <c r="W25" s="50" t="n">
        <v>78</v>
      </c>
      <c r="X25" s="50" t="n">
        <v>85</v>
      </c>
      <c r="Y25" s="50" t="n">
        <v>88</v>
      </c>
    </row>
    <row r="26" customFormat="false" ht="18" hidden="false" customHeight="true" outlineLevel="0" collapsed="false">
      <c r="A26" s="51" t="s">
        <v>97</v>
      </c>
      <c r="B26" s="53" t="n">
        <f aca="false">COUNTIF(N10:N17,"⚠ NEAR_TIE")</f>
        <v>0</v>
      </c>
      <c r="C26" s="53"/>
      <c r="D26" s="53"/>
    </row>
    <row r="27" customFormat="false" ht="18" hidden="false" customHeight="true" outlineLevel="0" collapsed="false">
      <c r="A27" s="51" t="s">
        <v>30</v>
      </c>
      <c r="B27" s="53" t="str">
        <f aca="false">INDEX(B10:B17,MATCH(1,D10:D17,0))</f>
        <v>Anna Keller</v>
      </c>
      <c r="C27" s="53"/>
      <c r="D27" s="53"/>
    </row>
    <row r="28" customFormat="false" ht="18" hidden="false" customHeight="true" outlineLevel="0" collapsed="false">
      <c r="A28" s="51" t="s">
        <v>98</v>
      </c>
      <c r="B28" s="52" t="n">
        <f aca="false">MAX(J10:J17)</f>
        <v>87.7</v>
      </c>
      <c r="C28" s="52"/>
      <c r="D28" s="52"/>
    </row>
    <row r="29" customFormat="false" ht="13.5" hidden="false" customHeight="true" outlineLevel="0" collapsed="false">
      <c r="A29" s="10" t="s">
        <v>99</v>
      </c>
    </row>
    <row r="30" customFormat="false" ht="30" hidden="false" customHeight="true" outlineLevel="0" collapsed="false">
      <c r="A30" s="35" t="s">
        <v>13</v>
      </c>
      <c r="B30" s="35" t="s">
        <v>14</v>
      </c>
      <c r="C30" s="11" t="s">
        <v>100</v>
      </c>
      <c r="D30" s="11" t="s">
        <v>101</v>
      </c>
      <c r="E30" s="11" t="s">
        <v>102</v>
      </c>
      <c r="F30" s="11" t="s">
        <v>103</v>
      </c>
      <c r="G30" s="11" t="s">
        <v>104</v>
      </c>
      <c r="H30" s="11" t="s">
        <v>105</v>
      </c>
      <c r="I30" s="11" t="s">
        <v>106</v>
      </c>
      <c r="J30" s="35" t="s">
        <v>107</v>
      </c>
      <c r="K30" s="35" t="s">
        <v>108</v>
      </c>
    </row>
    <row r="31" customFormat="false" ht="19.5" hidden="false" customHeight="true" outlineLevel="0" collapsed="false">
      <c r="A31" s="54" t="str">
        <f aca="false">B10</f>
        <v>Anna Keller</v>
      </c>
      <c r="B31" s="17" t="str">
        <f aca="false">C10</f>
        <v>Internal</v>
      </c>
      <c r="C31" s="55" t="n">
        <f aca="false">R19</f>
        <v>70</v>
      </c>
      <c r="D31" s="55" t="n">
        <f aca="false">R20</f>
        <v>88</v>
      </c>
      <c r="E31" s="55" t="n">
        <f aca="false">R21</f>
        <v>80</v>
      </c>
      <c r="F31" s="55" t="n">
        <f aca="false">R22</f>
        <v>78</v>
      </c>
      <c r="G31" s="55" t="n">
        <f aca="false">R23</f>
        <v>85</v>
      </c>
      <c r="H31" s="55" t="n">
        <f aca="false">R24</f>
        <v>92</v>
      </c>
      <c r="I31" s="55" t="n">
        <f aca="false">R25</f>
        <v>95</v>
      </c>
      <c r="J31" s="56" t="n">
        <f aca="false">ROUND(AVERAGE(C31:I31),1)</f>
        <v>84</v>
      </c>
      <c r="K31" s="57" t="n">
        <f aca="false">ROUND(J31-ROUND(AVERAGE(J31,J32,J33,J34,J35,J36,J37,J38),1),1)</f>
        <v>6.9</v>
      </c>
    </row>
    <row r="32" customFormat="false" ht="19.5" hidden="false" customHeight="true" outlineLevel="0" collapsed="false">
      <c r="A32" s="58" t="str">
        <f aca="false">B11</f>
        <v>Marcus Thorne</v>
      </c>
      <c r="B32" s="24" t="str">
        <f aca="false">C11</f>
        <v>External</v>
      </c>
      <c r="C32" s="59" t="n">
        <f aca="false">S19</f>
        <v>65</v>
      </c>
      <c r="D32" s="59" t="n">
        <f aca="false">S20</f>
        <v>82</v>
      </c>
      <c r="E32" s="59" t="n">
        <f aca="false">S21</f>
        <v>78</v>
      </c>
      <c r="F32" s="59" t="n">
        <f aca="false">S22</f>
        <v>75</v>
      </c>
      <c r="G32" s="59" t="n">
        <f aca="false">S23</f>
        <v>80</v>
      </c>
      <c r="H32" s="59" t="n">
        <f aca="false">S24</f>
        <v>85</v>
      </c>
      <c r="I32" s="59" t="n">
        <f aca="false">S25</f>
        <v>88</v>
      </c>
      <c r="J32" s="60" t="n">
        <f aca="false">ROUND(AVERAGE(C32:I32),1)</f>
        <v>79</v>
      </c>
      <c r="K32" s="61" t="n">
        <f aca="false">ROUND(J32-ROUND(AVERAGE(J31,J32,J33,J34,J35,J36,J37,J38),1),1)</f>
        <v>1.9</v>
      </c>
    </row>
    <row r="33" customFormat="false" ht="19.5" hidden="false" customHeight="true" outlineLevel="0" collapsed="false">
      <c r="A33" s="54" t="str">
        <f aca="false">B12</f>
        <v>Elena Rodriguez</v>
      </c>
      <c r="B33" s="17" t="str">
        <f aca="false">C12</f>
        <v>Internal</v>
      </c>
      <c r="C33" s="55" t="n">
        <f aca="false">T19</f>
        <v>60</v>
      </c>
      <c r="D33" s="55" t="n">
        <f aca="false">T20</f>
        <v>80</v>
      </c>
      <c r="E33" s="55" t="n">
        <f aca="false">T21</f>
        <v>85</v>
      </c>
      <c r="F33" s="55" t="n">
        <f aca="false">T22</f>
        <v>72</v>
      </c>
      <c r="G33" s="55" t="n">
        <f aca="false">T23</f>
        <v>82</v>
      </c>
      <c r="H33" s="55" t="n">
        <f aca="false">T24</f>
        <v>88</v>
      </c>
      <c r="I33" s="55" t="n">
        <f aca="false">T25</f>
        <v>90</v>
      </c>
      <c r="J33" s="56" t="n">
        <f aca="false">ROUND(AVERAGE(C33:I33),1)</f>
        <v>79.6</v>
      </c>
      <c r="K33" s="57" t="n">
        <f aca="false">ROUND(J33-ROUND(AVERAGE(J31,J32,J33,J34,J35,J36,J37,J38),1),1)</f>
        <v>2.5</v>
      </c>
    </row>
    <row r="34" customFormat="false" ht="19.5" hidden="false" customHeight="true" outlineLevel="0" collapsed="false">
      <c r="A34" s="58" t="str">
        <f aca="false">B13</f>
        <v>David Chen</v>
      </c>
      <c r="B34" s="24" t="str">
        <f aca="false">C13</f>
        <v>External</v>
      </c>
      <c r="C34" s="59" t="n">
        <f aca="false">U19</f>
        <v>72</v>
      </c>
      <c r="D34" s="59" t="n">
        <f aca="false">U20</f>
        <v>78</v>
      </c>
      <c r="E34" s="59" t="n">
        <f aca="false">U21</f>
        <v>75</v>
      </c>
      <c r="F34" s="59" t="n">
        <f aca="false">U22</f>
        <v>70</v>
      </c>
      <c r="G34" s="59" t="n">
        <f aca="false">U23</f>
        <v>78</v>
      </c>
      <c r="H34" s="59" t="n">
        <f aca="false">U24</f>
        <v>80</v>
      </c>
      <c r="I34" s="59" t="n">
        <f aca="false">U25</f>
        <v>82</v>
      </c>
      <c r="J34" s="60" t="n">
        <f aca="false">ROUND(AVERAGE(C34:I34),1)</f>
        <v>76.4</v>
      </c>
      <c r="K34" s="61" t="n">
        <f aca="false">ROUND(J34-ROUND(AVERAGE(J31,J32,J33,J34,J35,J36,J37,J38),1),1)</f>
        <v>-0.7</v>
      </c>
    </row>
    <row r="35" customFormat="false" ht="19.5" hidden="false" customHeight="true" outlineLevel="0" collapsed="false">
      <c r="A35" s="54" t="str">
        <f aca="false">B14</f>
        <v>Sarah Jenkins</v>
      </c>
      <c r="B35" s="17" t="str">
        <f aca="false">C14</f>
        <v>Internal</v>
      </c>
      <c r="C35" s="55" t="n">
        <f aca="false">V19</f>
        <v>68</v>
      </c>
      <c r="D35" s="55" t="n">
        <f aca="false">V20</f>
        <v>76</v>
      </c>
      <c r="E35" s="55" t="n">
        <f aca="false">V21</f>
        <v>72</v>
      </c>
      <c r="F35" s="55" t="n">
        <f aca="false">V22</f>
        <v>68</v>
      </c>
      <c r="G35" s="55" t="n">
        <f aca="false">V23</f>
        <v>75</v>
      </c>
      <c r="H35" s="55" t="n">
        <f aca="false">V24</f>
        <v>78</v>
      </c>
      <c r="I35" s="55" t="n">
        <f aca="false">V25</f>
        <v>80</v>
      </c>
      <c r="J35" s="56" t="n">
        <f aca="false">ROUND(AVERAGE(C35:I35),1)</f>
        <v>73.9</v>
      </c>
      <c r="K35" s="57" t="n">
        <f aca="false">ROUND(J35-ROUND(AVERAGE(J31,J32,J33,J34,J35,J36,J37,J38),1),1)</f>
        <v>-3.2</v>
      </c>
    </row>
    <row r="36" customFormat="false" ht="19.5" hidden="false" customHeight="true" outlineLevel="0" collapsed="false">
      <c r="A36" s="58" t="str">
        <f aca="false">B15</f>
        <v>Julian Vane</v>
      </c>
      <c r="B36" s="24" t="str">
        <f aca="false">C15</f>
        <v>External</v>
      </c>
      <c r="C36" s="59" t="n">
        <f aca="false">W19</f>
        <v>80</v>
      </c>
      <c r="D36" s="59" t="n">
        <f aca="false">W20</f>
        <v>80</v>
      </c>
      <c r="E36" s="59" t="n">
        <f aca="false">W21</f>
        <v>70</v>
      </c>
      <c r="F36" s="59" t="n">
        <f aca="false">W22</f>
        <v>65</v>
      </c>
      <c r="G36" s="59" t="n">
        <f aca="false">W23</f>
        <v>72</v>
      </c>
      <c r="H36" s="59" t="n">
        <f aca="false">W24</f>
        <v>75</v>
      </c>
      <c r="I36" s="59" t="n">
        <f aca="false">W25</f>
        <v>78</v>
      </c>
      <c r="J36" s="60" t="n">
        <f aca="false">ROUND(AVERAGE(C36:I36),1)</f>
        <v>74.3</v>
      </c>
      <c r="K36" s="61" t="n">
        <f aca="false">ROUND(J36-ROUND(AVERAGE(J31,J32,J33,J34,J35,J36,J37,J38),1),1)</f>
        <v>-2.8</v>
      </c>
    </row>
    <row r="37" customFormat="false" ht="19.5" hidden="false" customHeight="true" outlineLevel="0" collapsed="false">
      <c r="A37" s="54" t="str">
        <f aca="false">B16</f>
        <v>Linda Wu</v>
      </c>
      <c r="B37" s="17" t="str">
        <f aca="false">C16</f>
        <v>Internal</v>
      </c>
      <c r="C37" s="55" t="n">
        <f aca="false">X19</f>
        <v>75</v>
      </c>
      <c r="D37" s="55" t="n">
        <f aca="false">X20</f>
        <v>78</v>
      </c>
      <c r="E37" s="55" t="n">
        <f aca="false">X21</f>
        <v>68</v>
      </c>
      <c r="F37" s="55" t="n">
        <f aca="false">X22</f>
        <v>62</v>
      </c>
      <c r="G37" s="55" t="n">
        <f aca="false">X23</f>
        <v>70</v>
      </c>
      <c r="H37" s="55" t="n">
        <f aca="false">X24</f>
        <v>80</v>
      </c>
      <c r="I37" s="55" t="n">
        <f aca="false">X25</f>
        <v>85</v>
      </c>
      <c r="J37" s="56" t="n">
        <f aca="false">ROUND(AVERAGE(C37:I37),1)</f>
        <v>74</v>
      </c>
      <c r="K37" s="57" t="n">
        <f aca="false">ROUND(J37-ROUND(AVERAGE(J31,J32,J33,J34,J35,J36,J37,J38),1),1)</f>
        <v>-3.1</v>
      </c>
    </row>
    <row r="38" customFormat="false" ht="19.5" hidden="false" customHeight="true" outlineLevel="0" collapsed="false">
      <c r="A38" s="58" t="str">
        <f aca="false">B17</f>
        <v>Thomas More</v>
      </c>
      <c r="B38" s="24" t="str">
        <f aca="false">C17</f>
        <v>External</v>
      </c>
      <c r="C38" s="59" t="n">
        <f aca="false">Y19</f>
        <v>72</v>
      </c>
      <c r="D38" s="59" t="n">
        <f aca="false">Y20</f>
        <v>82</v>
      </c>
      <c r="E38" s="59" t="n">
        <f aca="false">Y21</f>
        <v>72</v>
      </c>
      <c r="F38" s="59" t="n">
        <f aca="false">Y22</f>
        <v>60</v>
      </c>
      <c r="G38" s="59" t="n">
        <f aca="false">Y23</f>
        <v>75</v>
      </c>
      <c r="H38" s="59" t="n">
        <f aca="false">Y24</f>
        <v>82</v>
      </c>
      <c r="I38" s="59" t="n">
        <f aca="false">Y25</f>
        <v>88</v>
      </c>
      <c r="J38" s="60" t="n">
        <f aca="false">ROUND(AVERAGE(C38:I38),1)</f>
        <v>75.9</v>
      </c>
      <c r="K38" s="61" t="n">
        <f aca="false">ROUND(J38-ROUND(AVERAGE(J31,J32,J33,J34,J35,J36,J37,J38),1),1)</f>
        <v>-1.2</v>
      </c>
    </row>
    <row r="39" customFormat="false" ht="13.5" hidden="false" customHeight="true" outlineLevel="0" collapsed="false">
      <c r="A39" s="62" t="s">
        <v>109</v>
      </c>
      <c r="B39" s="62"/>
      <c r="C39" s="63" t="n">
        <f aca="false">ROUND(AVERAGE(C31:C38),1)</f>
        <v>70.3</v>
      </c>
      <c r="D39" s="63" t="n">
        <f aca="false">ROUND(AVERAGE(D31:D38),1)</f>
        <v>80.5</v>
      </c>
      <c r="E39" s="63" t="n">
        <f aca="false">ROUND(AVERAGE(E31:E38),1)</f>
        <v>75</v>
      </c>
      <c r="F39" s="63" t="n">
        <f aca="false">ROUND(AVERAGE(F31:F38),1)</f>
        <v>68.8</v>
      </c>
      <c r="G39" s="63" t="n">
        <f aca="false">ROUND(AVERAGE(G31:G38),1)</f>
        <v>77.1</v>
      </c>
      <c r="H39" s="63" t="n">
        <f aca="false">ROUND(AVERAGE(H31:H38),1)</f>
        <v>82.5</v>
      </c>
      <c r="I39" s="63" t="n">
        <f aca="false">ROUND(AVERAGE(I31:I38),1)</f>
        <v>85.8</v>
      </c>
    </row>
    <row r="40" customFormat="false" ht="19.5" hidden="false" customHeight="true" outlineLevel="0" collapsed="false">
      <c r="A40" s="26" t="s">
        <v>110</v>
      </c>
      <c r="B40" s="64" t="str">
        <f aca="false">INDEX(B10:B17,MATCH(1,D10:D17,0))&amp;" — Score: "&amp;TEXT(MAX(J10:J17),"0.0")</f>
        <v>Anna Keller — Score: 87.7</v>
      </c>
      <c r="C40" s="64"/>
      <c r="D40" s="64"/>
      <c r="E40" s="64"/>
      <c r="F40" s="64"/>
      <c r="G40" s="64"/>
      <c r="H40" s="64"/>
    </row>
    <row r="41" customFormat="false" ht="19.5" hidden="false" customHeight="true" outlineLevel="0" collapsed="false">
      <c r="A41" s="26" t="s">
        <v>111</v>
      </c>
      <c r="B41" s="64" t="str">
        <f aca="false">IF(MAX(J10:J17)&gt;=90,"STRONG FIT",IF(MAX(J10:J17)&gt;=80,"GOOD FIT","MODERATE FIT"))</f>
        <v>GOOD FIT</v>
      </c>
      <c r="C41" s="64"/>
      <c r="D41" s="64"/>
      <c r="E41" s="64"/>
      <c r="F41" s="64"/>
      <c r="G41" s="64"/>
      <c r="H41" s="64"/>
    </row>
    <row r="42" customFormat="false" ht="19.5" hidden="false" customHeight="true" outlineLevel="0" collapsed="false">
      <c r="A42" s="26" t="s">
        <v>112</v>
      </c>
      <c r="B42" s="64" t="str">
        <f aca="false">IF(MAX(J10:J17)&gt;=90,"HIGH",IF(MAX(J10:J17)&gt;=80,"MEDIUM","LOW"))</f>
        <v>MEDIUM</v>
      </c>
      <c r="C42" s="64"/>
      <c r="D42" s="64"/>
      <c r="E42" s="64"/>
      <c r="F42" s="64"/>
      <c r="G42" s="64"/>
      <c r="H42" s="64"/>
    </row>
    <row r="43" customFormat="false" ht="19.5" hidden="false" customHeight="true" outlineLevel="0" collapsed="false">
      <c r="A43" s="26" t="s">
        <v>113</v>
      </c>
      <c r="B43" s="64" t="str">
        <f aca="false">IF(AVERAGEIF(C10:C17,"Internal",J10:J17)&gt;AVERAGEIF(C10:C17,"External",J10:J17),"Internal pool outperforms","External pool outperforms")&amp;" (Δ "&amp;TEXT(ROUND(ABS(AVERAGEIF(C10:C17,"Internal",J10:J17)-AVERAGEIF(C10:C17,"External",J10:J17)),1),"0.0")&amp;" pts)"</f>
        <v>Internal pool outperforms (Δ 2.4 pts)</v>
      </c>
      <c r="C43" s="64"/>
      <c r="D43" s="64"/>
      <c r="E43" s="64"/>
      <c r="F43" s="64"/>
      <c r="G43" s="64"/>
      <c r="H43" s="64"/>
    </row>
    <row r="44" customFormat="false" ht="19.5" hidden="false" customHeight="true" outlineLevel="0" collapsed="false">
      <c r="A44" s="26" t="s">
        <v>114</v>
      </c>
      <c r="B44" s="64" t="str">
        <f aca="false">IF(COUNTIF(N10:N17,"⚠ NEAR_TIE")&gt;0,"⚠ "&amp;COUNTIF(N10:N17,"⚠ NEAR_TIE")&amp;" near-tie pair(s) detected — review criterion scores before final decision","✓ No ties detected")</f>
        <v>✓ No ties detected</v>
      </c>
      <c r="C44" s="64"/>
      <c r="D44" s="64"/>
      <c r="E44" s="64"/>
      <c r="F44" s="64"/>
      <c r="G44" s="64"/>
      <c r="H44" s="64"/>
    </row>
  </sheetData>
  <mergeCells count="18">
    <mergeCell ref="A2:O2"/>
    <mergeCell ref="A3:O3"/>
    <mergeCell ref="B7:H7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A39:B39"/>
    <mergeCell ref="B40:H40"/>
    <mergeCell ref="B41:H41"/>
    <mergeCell ref="B42:H42"/>
    <mergeCell ref="B43:H43"/>
    <mergeCell ref="B44:H44"/>
  </mergeCells>
  <conditionalFormatting sqref="E10:E17">
    <cfRule type="colorScale" priority="2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F10:F17">
    <cfRule type="colorScale" priority="3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G10:G17">
    <cfRule type="colorScale" priority="4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H10:H17">
    <cfRule type="colorScale" priority="5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I10:I17">
    <cfRule type="colorScale" priority="6">
      <colorScale>
        <cfvo type="num" val="60"/>
        <cfvo type="num" val="75"/>
        <cfvo type="num" val="100"/>
        <color rgb="FFEF4444"/>
        <color rgb="FFF59E0B"/>
        <color rgb="FF22C55E"/>
      </colorScale>
    </cfRule>
  </conditionalFormatting>
  <conditionalFormatting sqref="J10:J17">
    <cfRule type="dataBar" priority="7">
      <dataBar showValue="1" minLength="10" maxLength="90">
        <cfvo type="num" val="60"/>
        <cfvo type="num" val="100"/>
        <color rgb="FF0066CC"/>
      </dataBar>
      <extLst>
        <ext xmlns:x14="http://schemas.microsoft.com/office/spreadsheetml/2009/9/main" uri="{B025F937-C7B1-47D3-B67F-A62EFF666E3E}">
          <x14:id>{20DEA1FD-BA96-4C1D-BAE1-A05FF3A5FC4D}</x14:id>
        </ext>
      </extLst>
    </cfRule>
  </conditionalFormatting>
  <conditionalFormatting sqref="C31:C38">
    <cfRule type="colorScale" priority="8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D31:D38">
    <cfRule type="colorScale" priority="9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E31:E38">
    <cfRule type="colorScale" priority="10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F31:F38">
    <cfRule type="colorScale" priority="11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G31:G38">
    <cfRule type="colorScale" priority="12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H31:H38">
    <cfRule type="colorScale" priority="13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conditionalFormatting sqref="I31:I38">
    <cfRule type="colorScale" priority="14">
      <colorScale>
        <cfvo type="num" val="50"/>
        <cfvo type="num" val="72"/>
        <cfvo type="num" val="10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DEA1FD-BA96-4C1D-BAE1-A05FF3A5FC4D}">
            <x14:dataBar minLength="10" maxLength="90" axisPosition="none" gradient="true">
              <x14:cfvo type="num">
                <xm:f>60</xm:f>
              </x14:cfvo>
              <x14:cfvo type="num">
                <xm:f>100</xm:f>
              </x14:cfvo>
              <x14:negativeFillColor rgb="FF0066CC"/>
              <x14:axisColor rgb="FF000000"/>
            </x14:dataBar>
          </x14:cfRule>
          <xm:sqref>J10:J17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2026-03-29T05:13:04Z</dcterms:created>
  <dc:creator>openpyxl</dc:creator>
  <dc:description/>
  <dc:language>en-US</dc:language>
  <cp:lastModifiedBy/>
  <dcterms:modified xsi:type="dcterms:W3CDTF">2026-03-29T05:13:05Z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